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ilings" sheetId="1" state="visible" r:id="rId3"/>
    <sheet name="Sources" sheetId="2" state="visible" r:id="rId4"/>
  </sheets>
  <definedNames>
    <definedName function="false" hidden="true" localSheetId="0" name="_xlnm._FilterDatabase" vbProcedure="false">Ceilings!$A$1:$I$160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<sst xmlns="http://schemas.openxmlformats.org/spreadsheetml/2006/main" count="948" uniqueCount="215">
  <si>
    <t xml:space="preserve">Library</t>
  </si>
  <si>
    <t xml:space="preserve">CI min tested</t>
  </si>
  <si>
    <t xml:space="preserve">CI max tested</t>
  </si>
  <si>
    <t xml:space="preserve">Matrix: clang-18 C++23</t>
  </si>
  <si>
    <t xml:space="preserve">Matrix: gcc-15 C++23</t>
  </si>
  <si>
    <t xml:space="preserve">Matrix: gcc-15 C++26</t>
  </si>
  <si>
    <t xml:space="preserve">Assessed ceiling</t>
  </si>
  <si>
    <t xml:space="preserve">Agrees with CI?</t>
  </si>
  <si>
    <t xml:space="preserve">Notes</t>
  </si>
  <si>
    <t xml:space="preserve">accumulators</t>
  </si>
  <si>
    <t xml:space="preserve">11</t>
  </si>
  <si>
    <t xml:space="preserve">26</t>
  </si>
  <si>
    <t xml:space="preserve">OK</t>
  </si>
  <si>
    <t xml:space="preserve">algorithm</t>
  </si>
  <si>
    <t xml:space="preserve">03</t>
  </si>
  <si>
    <t xml:space="preserve">20</t>
  </si>
  <si>
    <t xml:space="preserve">clang-15 fails C++20 and C++23</t>
  </si>
  <si>
    <t xml:space="preserve">align</t>
  </si>
  <si>
    <t xml:space="preserve">any</t>
  </si>
  <si>
    <t xml:space="preserve">23</t>
  </si>
  <si>
    <t xml:space="preserve">array</t>
  </si>
  <si>
    <t xml:space="preserve">asio</t>
  </si>
  <si>
    <t xml:space="preserve">Fails all gcc-6 runners</t>
  </si>
  <si>
    <t xml:space="preserve">assert</t>
  </si>
  <si>
    <t xml:space="preserve">assign</t>
  </si>
  <si>
    <t xml:space="preserve">atomic</t>
  </si>
  <si>
    <t xml:space="preserve">beast</t>
  </si>
  <si>
    <t xml:space="preserve">bimap</t>
  </si>
  <si>
    <t xml:space="preserve">bind</t>
  </si>
  <si>
    <t xml:space="preserve">comp</t>
  </si>
  <si>
    <t xml:space="preserve">Fails every gcc-15 column incl. C++11: gcc-15 issue, not a standard ceiling</t>
  </si>
  <si>
    <t xml:space="preserve">bloom</t>
  </si>
  <si>
    <t xml:space="preserve">callable_traits</t>
  </si>
  <si>
    <t xml:space="preserve">charconv</t>
  </si>
  <si>
    <t xml:space="preserve">run</t>
  </si>
  <si>
    <t xml:space="preserve">Runtime failure only at C++26</t>
  </si>
  <si>
    <t xml:space="preserve">chrono</t>
  </si>
  <si>
    <t xml:space="preserve">circular_buffer</t>
  </si>
  <si>
    <t xml:space="preserve">cobalt</t>
  </si>
  <si>
    <t xml:space="preserve">Shows OK under C++11 though it needs C++20: tests skipped, not passed</t>
  </si>
  <si>
    <t xml:space="preserve">compat</t>
  </si>
  <si>
    <t xml:space="preserve">compute</t>
  </si>
  <si>
    <t xml:space="preserve">concept_check</t>
  </si>
  <si>
    <t xml:space="preserve">config</t>
  </si>
  <si>
    <t xml:space="preserve">container</t>
  </si>
  <si>
    <t xml:space="preserve">container_hash</t>
  </si>
  <si>
    <t xml:space="preserve">context</t>
  </si>
  <si>
    <t xml:space="preserve">17</t>
  </si>
  <si>
    <t xml:space="preserve">Fails C++11/14 on several runners</t>
  </si>
  <si>
    <t xml:space="preserve">contract</t>
  </si>
  <si>
    <t xml:space="preserve">conversion</t>
  </si>
  <si>
    <t xml:space="preserve">convert</t>
  </si>
  <si>
    <t xml:space="preserve">core</t>
  </si>
  <si>
    <t xml:space="preserve">coroutine</t>
  </si>
  <si>
    <t xml:space="preserve">coroutine2</t>
  </si>
  <si>
    <t xml:space="preserve">crc</t>
  </si>
  <si>
    <t xml:space="preserve">date_time</t>
  </si>
  <si>
    <t xml:space="preserve">decimal</t>
  </si>
  <si>
    <t xml:space="preserve">Fails nearly every runner</t>
  </si>
  <si>
    <t xml:space="preserve">describe</t>
  </si>
  <si>
    <t xml:space="preserve">detail</t>
  </si>
  <si>
    <t xml:space="preserve">dll</t>
  </si>
  <si>
    <t xml:space="preserve">dynamic_bitset</t>
  </si>
  <si>
    <t xml:space="preserve">endian</t>
  </si>
  <si>
    <t xml:space="preserve">exception</t>
  </si>
  <si>
    <t xml:space="preserve">Fails every runner (systemic)</t>
  </si>
  <si>
    <t xml:space="preserve">fiber</t>
  </si>
  <si>
    <t xml:space="preserve">filesystem</t>
  </si>
  <si>
    <t xml:space="preserve">flyweight</t>
  </si>
  <si>
    <t xml:space="preserve">foreach</t>
  </si>
  <si>
    <t xml:space="preserve">format</t>
  </si>
  <si>
    <t xml:space="preserve">function</t>
  </si>
  <si>
    <t xml:space="preserve">function_types</t>
  </si>
  <si>
    <t xml:space="preserve">functional</t>
  </si>
  <si>
    <t xml:space="preserve">fusion</t>
  </si>
  <si>
    <t xml:space="preserve">geometry</t>
  </si>
  <si>
    <t xml:space="preserve">14</t>
  </si>
  <si>
    <t xml:space="preserve">MSVC failures; extensions and index subprojects fail broadly</t>
  </si>
  <si>
    <t xml:space="preserve">gil</t>
  </si>
  <si>
    <t xml:space="preserve">Fails gcc-15 at C++23/26; passes clang-18 C++23</t>
  </si>
  <si>
    <t xml:space="preserve">graph</t>
  </si>
  <si>
    <t xml:space="preserve">Fails C++11 modes; MSVC runtime failures</t>
  </si>
  <si>
    <t xml:space="preserve">graph_parallel</t>
  </si>
  <si>
    <t xml:space="preserve">hana</t>
  </si>
  <si>
    <t xml:space="preserve">Compile failure only at C++26</t>
  </si>
  <si>
    <t xml:space="preserve">hash2</t>
  </si>
  <si>
    <t xml:space="preserve">Fails C++11 modes</t>
  </si>
  <si>
    <t xml:space="preserve">headers</t>
  </si>
  <si>
    <t xml:space="preserve">heap</t>
  </si>
  <si>
    <t xml:space="preserve">histogram</t>
  </si>
  <si>
    <t xml:space="preserve">hof</t>
  </si>
  <si>
    <t xml:space="preserve">Fails gcc-15 C++11/14</t>
  </si>
  <si>
    <t xml:space="preserve">icl</t>
  </si>
  <si>
    <t xml:space="preserve">int128</t>
  </si>
  <si>
    <t xml:space="preserve">Fails C++14/17 on gcc-15</t>
  </si>
  <si>
    <t xml:space="preserve">integer</t>
  </si>
  <si>
    <t xml:space="preserve">interprocess</t>
  </si>
  <si>
    <t xml:space="preserve">intrusive</t>
  </si>
  <si>
    <t xml:space="preserve">io</t>
  </si>
  <si>
    <t xml:space="preserve">iostreams</t>
  </si>
  <si>
    <t xml:space="preserve">iterator</t>
  </si>
  <si>
    <t xml:space="preserve">json</t>
  </si>
  <si>
    <t xml:space="preserve">Runtime/timeout failures on MSVC and cross-arch runners</t>
  </si>
  <si>
    <t xml:space="preserve">lambda</t>
  </si>
  <si>
    <t xml:space="preserve">lambda2</t>
  </si>
  <si>
    <t xml:space="preserve">leaf</t>
  </si>
  <si>
    <t xml:space="preserve">lexical_cast</t>
  </si>
  <si>
    <t xml:space="preserve">local_function</t>
  </si>
  <si>
    <t xml:space="preserve">locale</t>
  </si>
  <si>
    <t xml:space="preserve">lockfree</t>
  </si>
  <si>
    <t xml:space="preserve">log</t>
  </si>
  <si>
    <t xml:space="preserve">logic</t>
  </si>
  <si>
    <t xml:space="preserve">math</t>
  </si>
  <si>
    <t xml:space="preserve">metaparse</t>
  </si>
  <si>
    <t xml:space="preserve">move</t>
  </si>
  <si>
    <t xml:space="preserve">mp11</t>
  </si>
  <si>
    <t xml:space="preserve">mpi</t>
  </si>
  <si>
    <t xml:space="preserve">mpl</t>
  </si>
  <si>
    <t xml:space="preserve">mqtt5</t>
  </si>
  <si>
    <t xml:space="preserve">?</t>
  </si>
  <si>
    <t xml:space="preserve">Broad failures across runners</t>
  </si>
  <si>
    <t xml:space="preserve">msm</t>
  </si>
  <si>
    <t xml:space="preserve">multi_array</t>
  </si>
  <si>
    <t xml:space="preserve">multi_index</t>
  </si>
  <si>
    <t xml:space="preserve">multiprecision</t>
  </si>
  <si>
    <t xml:space="preserve">Mixed failures on clang 6-8 and gnu modes</t>
  </si>
  <si>
    <t xml:space="preserve">mysql</t>
  </si>
  <si>
    <t xml:space="preserve">nowide</t>
  </si>
  <si>
    <t xml:space="preserve">numeric/conversion</t>
  </si>
  <si>
    <t xml:space="preserve">numeric/interval</t>
  </si>
  <si>
    <t xml:space="preserve">numeric/odeint</t>
  </si>
  <si>
    <t xml:space="preserve">numeric/ublas</t>
  </si>
  <si>
    <t xml:space="preserve">openmethod</t>
  </si>
  <si>
    <t xml:space="preserve">optional</t>
  </si>
  <si>
    <t xml:space="preserve">outcome</t>
  </si>
  <si>
    <t xml:space="preserve">n/a below its minimum standard</t>
  </si>
  <si>
    <t xml:space="preserve">parameter</t>
  </si>
  <si>
    <t xml:space="preserve">parameter_python</t>
  </si>
  <si>
    <t xml:space="preserve">Broad failures; Python-dependent</t>
  </si>
  <si>
    <t xml:space="preserve">parser</t>
  </si>
  <si>
    <t xml:space="preserve">Fails below C++17, as expected</t>
  </si>
  <si>
    <t xml:space="preserve">pfr</t>
  </si>
  <si>
    <t xml:space="preserve">phoenix</t>
  </si>
  <si>
    <t xml:space="preserve">Fails clang-18 C++23 only</t>
  </si>
  <si>
    <t xml:space="preserve">poly_collection</t>
  </si>
  <si>
    <t xml:space="preserve">polygon</t>
  </si>
  <si>
    <t xml:space="preserve">pool</t>
  </si>
  <si>
    <t xml:space="preserve">predef</t>
  </si>
  <si>
    <t xml:space="preserve">preprocessor</t>
  </si>
  <si>
    <t xml:space="preserve">process</t>
  </si>
  <si>
    <t xml:space="preserve">Scattered runtime failures across runners; looks environmental</t>
  </si>
  <si>
    <t xml:space="preserve">program_options</t>
  </si>
  <si>
    <t xml:space="preserve">property_map</t>
  </si>
  <si>
    <t xml:space="preserve">property_map_parallel</t>
  </si>
  <si>
    <t xml:space="preserve">property_tree</t>
  </si>
  <si>
    <t xml:space="preserve">proto</t>
  </si>
  <si>
    <t xml:space="preserve">ptr_container</t>
  </si>
  <si>
    <t xml:space="preserve">python</t>
  </si>
  <si>
    <t xml:space="preserve">Fails nearly every runner (environment)</t>
  </si>
  <si>
    <t xml:space="preserve">qvm</t>
  </si>
  <si>
    <t xml:space="preserve">random</t>
  </si>
  <si>
    <t xml:space="preserve">range</t>
  </si>
  <si>
    <t xml:space="preserve">ratio</t>
  </si>
  <si>
    <t xml:space="preserve">rational</t>
  </si>
  <si>
    <t xml:space="preserve">redis</t>
  </si>
  <si>
    <t xml:space="preserve">regex</t>
  </si>
  <si>
    <t xml:space="preserve">safe_numerics</t>
  </si>
  <si>
    <t xml:space="preserve">scope</t>
  </si>
  <si>
    <t xml:space="preserve">scope_exit</t>
  </si>
  <si>
    <t xml:space="preserve">serialization</t>
  </si>
  <si>
    <t xml:space="preserve">signals2</t>
  </si>
  <si>
    <t xml:space="preserve">smart_ptr</t>
  </si>
  <si>
    <t xml:space="preserve">sort</t>
  </si>
  <si>
    <t xml:space="preserve">spirit</t>
  </si>
  <si>
    <t xml:space="preserve">Passes only C++11 columns; tests built at 14+ are failing</t>
  </si>
  <si>
    <t xml:space="preserve">stacktrace</t>
  </si>
  <si>
    <t xml:space="preserve">statechart</t>
  </si>
  <si>
    <t xml:space="preserve">Fails all Linux runners; passes MSVC</t>
  </si>
  <si>
    <t xml:space="preserve">static_assert</t>
  </si>
  <si>
    <t xml:space="preserve">static_string</t>
  </si>
  <si>
    <t xml:space="preserve">stl_interfaces</t>
  </si>
  <si>
    <t xml:space="preserve">Fails gcc-15 at C++23/26 and several clang C++20 runners</t>
  </si>
  <si>
    <t xml:space="preserve">system</t>
  </si>
  <si>
    <t xml:space="preserve">test</t>
  </si>
  <si>
    <t xml:space="preserve">thread</t>
  </si>
  <si>
    <t xml:space="preserve">throw_exception</t>
  </si>
  <si>
    <t xml:space="preserve">timer</t>
  </si>
  <si>
    <t xml:space="preserve">tokenizer</t>
  </si>
  <si>
    <t xml:space="preserve">tti</t>
  </si>
  <si>
    <t xml:space="preserve">tuple</t>
  </si>
  <si>
    <t xml:space="preserve">type_erasure</t>
  </si>
  <si>
    <t xml:space="preserve">type_index</t>
  </si>
  <si>
    <t xml:space="preserve">type_traits</t>
  </si>
  <si>
    <t xml:space="preserve">Not in regression report</t>
  </si>
  <si>
    <t xml:space="preserve">typeof</t>
  </si>
  <si>
    <t xml:space="preserve">units</t>
  </si>
  <si>
    <t xml:space="preserve">unordered</t>
  </si>
  <si>
    <t xml:space="preserve">url</t>
  </si>
  <si>
    <t xml:space="preserve">utility</t>
  </si>
  <si>
    <t xml:space="preserve">uuid</t>
  </si>
  <si>
    <t xml:space="preserve">variant</t>
  </si>
  <si>
    <t xml:space="preserve">variant2</t>
  </si>
  <si>
    <t xml:space="preserve">vmd</t>
  </si>
  <si>
    <t xml:space="preserve">wave</t>
  </si>
  <si>
    <t xml:space="preserve">winapi</t>
  </si>
  <si>
    <t xml:space="preserve">xpressive</t>
  </si>
  <si>
    <t xml:space="preserve">yap</t>
  </si>
  <si>
    <t xml:space="preserve">CI columns: highest/lowest C++ standard named in each library's active CI config (GitHub Actions, Drone, AppVeyor; dead Travis excluded), develop branch, pulled 1 Oct 2026.</t>
  </si>
  <si>
    <t xml:space="preserve">Libraries using the shared boost-ci reusable workflow were credited with C++11 through C++26 minus their exclude_cxxstd list.</t>
  </si>
  <si>
    <t xml:space="preserve">Matrix columns: https://regression.boost.org/develop/developer/summary.html, report time 30 Sep 2026 12:40 UTC (runs dated 16 to 30 Sep). Cell values transcribed from the summary, which aggregates all tests in a library.</t>
  </si>
  <si>
    <t xml:space="preserve">C++26 is tested by a single runner (gcc-15). C++23 by gcc-15, clang-18, and clang-15 on aarch64 (not shown). MSVC columns use the compiler default standard and are excluded.</t>
  </si>
  <si>
    <t xml:space="preserve">Assessed ceiling: 26 if gcc-15 C++26 is OK; else 23 if either C++23 cell is OK; else Inconclusive.</t>
  </si>
  <si>
    <t xml:space="preserve">Caveat: OK can mean tests were skipped by build requirements (see cobalt), so OK is strong evidence, not proof.</t>
  </si>
  <si>
    <t xml:space="preserve">The regression report ends at type_index; the 14 libraries after it have no matrix data.</t>
  </si>
  <si>
    <t xml:space="preserve">Libraries with no CI data and blank CI columns: asio, compute, coroutine, fiber, foreach, hana, headers, mpi, multi_array, parameter_python, property_map_parallel, scope_exit, statechart, stl_interfaces, winapi (hof and metaparse use compiler defaults).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</si>
</sst>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7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tr">
        <f aca="false">IF(F2="","",IF(F2="OK","26",IF(OR(D2="OK",E2="OK"),"23","Inconclusive")))</f>
        <v>26</v>
      </c>
      <c r="H2" s="2" t="str">
        <f aca="false">IF(OR(C2="",G2="",G2="Inconclusive"),"",IF(VALUE(G2)=IF(C2="03",3,VALUE(C2)),"Yes",IF(VALUE(G2)&gt;VALUE(C2),"Matrix higher","Matrix lower")))</f>
        <v>Yes</v>
      </c>
      <c r="I2" s="2"/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12</v>
      </c>
      <c r="E3" s="2" t="s">
        <v>12</v>
      </c>
      <c r="F3" s="2" t="s">
        <v>12</v>
      </c>
      <c r="G3" s="2" t="str">
        <f aca="false">IF(F3="","",IF(F3="OK","26",IF(OR(D3="OK",E3="OK"),"23","Inconclusive")))</f>
        <v>26</v>
      </c>
      <c r="H3" s="2" t="str">
        <f aca="false">IF(OR(C3="",G3="",G3="Inconclusive"),"",IF(VALUE(G3)=IF(C3="03",3,VALUE(C3)),"Yes",IF(VALUE(G3)&gt;VALUE(C3),"Matrix higher","Matrix lower")))</f>
        <v>Matrix higher</v>
      </c>
      <c r="I3" s="2" t="s">
        <v>16</v>
      </c>
    </row>
    <row r="4" customFormat="false" ht="15" hidden="false" customHeight="false" outlineLevel="0" collapsed="false">
      <c r="A4" s="2" t="s">
        <v>17</v>
      </c>
      <c r="B4" s="2" t="s">
        <v>14</v>
      </c>
      <c r="C4" s="2" t="s">
        <v>11</v>
      </c>
      <c r="D4" s="2" t="s">
        <v>12</v>
      </c>
      <c r="E4" s="2" t="s">
        <v>12</v>
      </c>
      <c r="F4" s="2" t="s">
        <v>12</v>
      </c>
      <c r="G4" s="2" t="str">
        <f aca="false">IF(F4="","",IF(F4="OK","26",IF(OR(D4="OK",E4="OK"),"23","Inconclusive")))</f>
        <v>26</v>
      </c>
      <c r="H4" s="2" t="str">
        <f aca="false">IF(OR(C4="",G4="",G4="Inconclusive"),"",IF(VALUE(G4)=IF(C4="03",3,VALUE(C4)),"Yes",IF(VALUE(G4)&gt;VALUE(C4),"Matrix higher","Matrix lower")))</f>
        <v>Yes</v>
      </c>
      <c r="I4" s="2"/>
    </row>
    <row r="5" customFormat="false" ht="15" hidden="false" customHeight="false" outlineLevel="0" collapsed="false">
      <c r="A5" s="2" t="s">
        <v>18</v>
      </c>
      <c r="B5" s="2" t="s">
        <v>14</v>
      </c>
      <c r="C5" s="2" t="s">
        <v>19</v>
      </c>
      <c r="D5" s="2" t="s">
        <v>12</v>
      </c>
      <c r="E5" s="2" t="s">
        <v>12</v>
      </c>
      <c r="F5" s="2" t="s">
        <v>12</v>
      </c>
      <c r="G5" s="2" t="str">
        <f aca="false">IF(F5="","",IF(F5="OK","26",IF(OR(D5="OK",E5="OK"),"23","Inconclusive")))</f>
        <v>26</v>
      </c>
      <c r="H5" s="2" t="str">
        <f aca="false">IF(OR(C5="",G5="",G5="Inconclusive"),"",IF(VALUE(G5)=IF(C5="03",3,VALUE(C5)),"Yes",IF(VALUE(G5)&gt;VALUE(C5),"Matrix higher","Matrix lower")))</f>
        <v>Matrix higher</v>
      </c>
      <c r="I5" s="2"/>
    </row>
    <row r="6" customFormat="false" ht="15" hidden="false" customHeight="false" outlineLevel="0" collapsed="false">
      <c r="A6" s="2" t="s">
        <v>20</v>
      </c>
      <c r="B6" s="2" t="s">
        <v>14</v>
      </c>
      <c r="C6" s="2" t="s">
        <v>11</v>
      </c>
      <c r="D6" s="2" t="s">
        <v>12</v>
      </c>
      <c r="E6" s="2" t="s">
        <v>12</v>
      </c>
      <c r="F6" s="2" t="s">
        <v>12</v>
      </c>
      <c r="G6" s="2" t="str">
        <f aca="false">IF(F6="","",IF(F6="OK","26",IF(OR(D6="OK",E6="OK"),"23","Inconclusive")))</f>
        <v>26</v>
      </c>
      <c r="H6" s="2" t="str">
        <f aca="false">IF(OR(C6="",G6="",G6="Inconclusive"),"",IF(VALUE(G6)=IF(C6="03",3,VALUE(C6)),"Yes",IF(VALUE(G6)&gt;VALUE(C6),"Matrix higher","Matrix lower")))</f>
        <v>Yes</v>
      </c>
      <c r="I6" s="2"/>
    </row>
    <row r="7" customFormat="false" ht="15" hidden="false" customHeight="false" outlineLevel="0" collapsed="false">
      <c r="A7" s="2" t="s">
        <v>21</v>
      </c>
      <c r="B7" s="2"/>
      <c r="C7" s="2"/>
      <c r="D7" s="2" t="s">
        <v>12</v>
      </c>
      <c r="E7" s="2" t="s">
        <v>12</v>
      </c>
      <c r="F7" s="2" t="s">
        <v>12</v>
      </c>
      <c r="G7" s="2" t="str">
        <f aca="false">IF(F7="","",IF(F7="OK","26",IF(OR(D7="OK",E7="OK"),"23","Inconclusive")))</f>
        <v>26</v>
      </c>
      <c r="H7" s="2" t="str">
        <f aca="false">IF(OR(C7="",G7="",G7="Inconclusive"),"",IF(VALUE(G7)=IF(C7="03",3,VALUE(C7)),"Yes",IF(VALUE(G7)&gt;VALUE(C7),"Matrix higher","Matrix lower")))</f>
        <v/>
      </c>
      <c r="I7" s="2" t="s">
        <v>22</v>
      </c>
    </row>
    <row r="8" customFormat="false" ht="15" hidden="false" customHeight="false" outlineLevel="0" collapsed="false">
      <c r="A8" s="2" t="s">
        <v>23</v>
      </c>
      <c r="B8" s="2" t="s">
        <v>14</v>
      </c>
      <c r="C8" s="2" t="s">
        <v>11</v>
      </c>
      <c r="D8" s="2" t="s">
        <v>12</v>
      </c>
      <c r="E8" s="2" t="s">
        <v>12</v>
      </c>
      <c r="F8" s="2" t="s">
        <v>12</v>
      </c>
      <c r="G8" s="2" t="str">
        <f aca="false">IF(F8="","",IF(F8="OK","26",IF(OR(D8="OK",E8="OK"),"23","Inconclusive")))</f>
        <v>26</v>
      </c>
      <c r="H8" s="2" t="str">
        <f aca="false">IF(OR(C8="",G8="",G8="Inconclusive"),"",IF(VALUE(G8)=IF(C8="03",3,VALUE(C8)),"Yes",IF(VALUE(G8)&gt;VALUE(C8),"Matrix higher","Matrix lower")))</f>
        <v>Yes</v>
      </c>
      <c r="I8" s="2"/>
    </row>
    <row r="9" customFormat="false" ht="15" hidden="false" customHeight="false" outlineLevel="0" collapsed="false">
      <c r="A9" s="2" t="s">
        <v>24</v>
      </c>
      <c r="B9" s="2" t="s">
        <v>10</v>
      </c>
      <c r="C9" s="2" t="s">
        <v>11</v>
      </c>
      <c r="D9" s="2" t="s">
        <v>12</v>
      </c>
      <c r="E9" s="2" t="s">
        <v>12</v>
      </c>
      <c r="F9" s="2" t="s">
        <v>12</v>
      </c>
      <c r="G9" s="2" t="str">
        <f aca="false">IF(F9="","",IF(F9="OK","26",IF(OR(D9="OK",E9="OK"),"23","Inconclusive")))</f>
        <v>26</v>
      </c>
      <c r="H9" s="2" t="str">
        <f aca="false">IF(OR(C9="",G9="",G9="Inconclusive"),"",IF(VALUE(G9)=IF(C9="03",3,VALUE(C9)),"Yes",IF(VALUE(G9)&gt;VALUE(C9),"Matrix higher","Matrix lower")))</f>
        <v>Yes</v>
      </c>
      <c r="I9" s="2"/>
    </row>
    <row r="10" customFormat="false" ht="15" hidden="false" customHeight="false" outlineLevel="0" collapsed="false">
      <c r="A10" s="2" t="s">
        <v>25</v>
      </c>
      <c r="B10" s="2" t="s">
        <v>10</v>
      </c>
      <c r="C10" s="2" t="s">
        <v>11</v>
      </c>
      <c r="D10" s="2" t="s">
        <v>12</v>
      </c>
      <c r="E10" s="2" t="s">
        <v>12</v>
      </c>
      <c r="F10" s="2" t="s">
        <v>12</v>
      </c>
      <c r="G10" s="2" t="str">
        <f aca="false">IF(F10="","",IF(F10="OK","26",IF(OR(D10="OK",E10="OK"),"23","Inconclusive")))</f>
        <v>26</v>
      </c>
      <c r="H10" s="2" t="str">
        <f aca="false">IF(OR(C10="",G10="",G10="Inconclusive"),"",IF(VALUE(G10)=IF(C10="03",3,VALUE(C10)),"Yes",IF(VALUE(G10)&gt;VALUE(C10),"Matrix higher","Matrix lower")))</f>
        <v>Yes</v>
      </c>
      <c r="I10" s="2"/>
    </row>
    <row r="11" customFormat="false" ht="15" hidden="false" customHeight="false" outlineLevel="0" collapsed="false">
      <c r="A11" s="2" t="s">
        <v>26</v>
      </c>
      <c r="B11" s="2" t="s">
        <v>10</v>
      </c>
      <c r="C11" s="2" t="s">
        <v>11</v>
      </c>
      <c r="D11" s="2" t="s">
        <v>12</v>
      </c>
      <c r="E11" s="2" t="s">
        <v>12</v>
      </c>
      <c r="F11" s="2" t="s">
        <v>12</v>
      </c>
      <c r="G11" s="2" t="str">
        <f aca="false">IF(F11="","",IF(F11="OK","26",IF(OR(D11="OK",E11="OK"),"23","Inconclusive")))</f>
        <v>26</v>
      </c>
      <c r="H11" s="2" t="str">
        <f aca="false">IF(OR(C11="",G11="",G11="Inconclusive"),"",IF(VALUE(G11)=IF(C11="03",3,VALUE(C11)),"Yes",IF(VALUE(G11)&gt;VALUE(C11),"Matrix higher","Matrix lower")))</f>
        <v>Yes</v>
      </c>
      <c r="I11" s="2"/>
    </row>
    <row r="12" customFormat="false" ht="15" hidden="false" customHeight="false" outlineLevel="0" collapsed="false">
      <c r="A12" s="2" t="s">
        <v>27</v>
      </c>
      <c r="B12" s="2" t="s">
        <v>10</v>
      </c>
      <c r="C12" s="2" t="s">
        <v>11</v>
      </c>
      <c r="D12" s="2" t="s">
        <v>12</v>
      </c>
      <c r="E12" s="2" t="s">
        <v>12</v>
      </c>
      <c r="F12" s="2" t="s">
        <v>12</v>
      </c>
      <c r="G12" s="2" t="str">
        <f aca="false">IF(F12="","",IF(F12="OK","26",IF(OR(D12="OK",E12="OK"),"23","Inconclusive")))</f>
        <v>26</v>
      </c>
      <c r="H12" s="2" t="str">
        <f aca="false">IF(OR(C12="",G12="",G12="Inconclusive"),"",IF(VALUE(G12)=IF(C12="03",3,VALUE(C12)),"Yes",IF(VALUE(G12)&gt;VALUE(C12),"Matrix higher","Matrix lower")))</f>
        <v>Yes</v>
      </c>
      <c r="I12" s="2"/>
    </row>
    <row r="13" customFormat="false" ht="15" hidden="false" customHeight="false" outlineLevel="0" collapsed="false">
      <c r="A13" s="2" t="s">
        <v>28</v>
      </c>
      <c r="B13" s="2" t="s">
        <v>10</v>
      </c>
      <c r="C13" s="2" t="s">
        <v>11</v>
      </c>
      <c r="D13" s="2" t="s">
        <v>12</v>
      </c>
      <c r="E13" s="2" t="s">
        <v>29</v>
      </c>
      <c r="F13" s="2" t="s">
        <v>29</v>
      </c>
      <c r="G13" s="2" t="str">
        <f aca="false">IF(F13="","",IF(F13="OK","26",IF(OR(D13="OK",E13="OK"),"23","Inconclusive")))</f>
        <v>23</v>
      </c>
      <c r="H13" s="2" t="str">
        <f aca="false">IF(OR(C13="",G13="",G13="Inconclusive"),"",IF(VALUE(G13)=IF(C13="03",3,VALUE(C13)),"Yes",IF(VALUE(G13)&gt;VALUE(C13),"Matrix higher","Matrix lower")))</f>
        <v>Matrix lower</v>
      </c>
      <c r="I13" s="2" t="s">
        <v>30</v>
      </c>
    </row>
    <row r="14" customFormat="false" ht="15" hidden="false" customHeight="false" outlineLevel="0" collapsed="false">
      <c r="A14" s="2" t="s">
        <v>31</v>
      </c>
      <c r="B14" s="2" t="s">
        <v>10</v>
      </c>
      <c r="C14" s="2" t="s">
        <v>11</v>
      </c>
      <c r="D14" s="2" t="s">
        <v>12</v>
      </c>
      <c r="E14" s="2" t="s">
        <v>12</v>
      </c>
      <c r="F14" s="2" t="s">
        <v>12</v>
      </c>
      <c r="G14" s="2" t="str">
        <f aca="false">IF(F14="","",IF(F14="OK","26",IF(OR(D14="OK",E14="OK"),"23","Inconclusive")))</f>
        <v>26</v>
      </c>
      <c r="H14" s="2" t="str">
        <f aca="false">IF(OR(C14="",G14="",G14="Inconclusive"),"",IF(VALUE(G14)=IF(C14="03",3,VALUE(C14)),"Yes",IF(VALUE(G14)&gt;VALUE(C14),"Matrix higher","Matrix lower")))</f>
        <v>Yes</v>
      </c>
      <c r="I14" s="2"/>
    </row>
    <row r="15" customFormat="false" ht="15" hidden="false" customHeight="false" outlineLevel="0" collapsed="false">
      <c r="A15" s="2" t="s">
        <v>32</v>
      </c>
      <c r="B15" s="2" t="s">
        <v>10</v>
      </c>
      <c r="C15" s="2" t="s">
        <v>15</v>
      </c>
      <c r="D15" s="2" t="s">
        <v>12</v>
      </c>
      <c r="E15" s="2" t="s">
        <v>12</v>
      </c>
      <c r="F15" s="2" t="s">
        <v>12</v>
      </c>
      <c r="G15" s="2" t="str">
        <f aca="false">IF(F15="","",IF(F15="OK","26",IF(OR(D15="OK",E15="OK"),"23","Inconclusive")))</f>
        <v>26</v>
      </c>
      <c r="H15" s="2" t="str">
        <f aca="false">IF(OR(C15="",G15="",G15="Inconclusive"),"",IF(VALUE(G15)=IF(C15="03",3,VALUE(C15)),"Yes",IF(VALUE(G15)&gt;VALUE(C15),"Matrix higher","Matrix lower")))</f>
        <v>Matrix higher</v>
      </c>
      <c r="I15" s="2"/>
    </row>
    <row r="16" customFormat="false" ht="15" hidden="false" customHeight="false" outlineLevel="0" collapsed="false">
      <c r="A16" s="2" t="s">
        <v>33</v>
      </c>
      <c r="B16" s="2" t="s">
        <v>14</v>
      </c>
      <c r="C16" s="2" t="s">
        <v>19</v>
      </c>
      <c r="D16" s="2" t="s">
        <v>12</v>
      </c>
      <c r="E16" s="2" t="s">
        <v>12</v>
      </c>
      <c r="F16" s="2" t="s">
        <v>34</v>
      </c>
      <c r="G16" s="2" t="str">
        <f aca="false">IF(F16="","",IF(F16="OK","26",IF(OR(D16="OK",E16="OK"),"23","Inconclusive")))</f>
        <v>23</v>
      </c>
      <c r="H16" s="2" t="str">
        <f aca="false">IF(OR(C16="",G16="",G16="Inconclusive"),"",IF(VALUE(G16)=IF(C16="03",3,VALUE(C16)),"Yes",IF(VALUE(G16)&gt;VALUE(C16),"Matrix higher","Matrix lower")))</f>
        <v>Yes</v>
      </c>
      <c r="I16" s="2" t="s">
        <v>35</v>
      </c>
    </row>
    <row r="17" customFormat="false" ht="15" hidden="false" customHeight="false" outlineLevel="0" collapsed="false">
      <c r="A17" s="2" t="s">
        <v>36</v>
      </c>
      <c r="B17" s="2" t="s">
        <v>10</v>
      </c>
      <c r="C17" s="2" t="s">
        <v>11</v>
      </c>
      <c r="D17" s="2" t="s">
        <v>12</v>
      </c>
      <c r="E17" s="2" t="s">
        <v>12</v>
      </c>
      <c r="F17" s="2" t="s">
        <v>12</v>
      </c>
      <c r="G17" s="2" t="str">
        <f aca="false">IF(F17="","",IF(F17="OK","26",IF(OR(D17="OK",E17="OK"),"23","Inconclusive")))</f>
        <v>26</v>
      </c>
      <c r="H17" s="2" t="str">
        <f aca="false">IF(OR(C17="",G17="",G17="Inconclusive"),"",IF(VALUE(G17)=IF(C17="03",3,VALUE(C17)),"Yes",IF(VALUE(G17)&gt;VALUE(C17),"Matrix higher","Matrix lower")))</f>
        <v>Yes</v>
      </c>
      <c r="I17" s="2"/>
    </row>
    <row r="18" customFormat="false" ht="15" hidden="false" customHeight="false" outlineLevel="0" collapsed="false">
      <c r="A18" s="2" t="s">
        <v>37</v>
      </c>
      <c r="B18" s="2" t="s">
        <v>14</v>
      </c>
      <c r="C18" s="2" t="s">
        <v>11</v>
      </c>
      <c r="D18" s="2" t="s">
        <v>12</v>
      </c>
      <c r="E18" s="2" t="s">
        <v>12</v>
      </c>
      <c r="F18" s="2" t="s">
        <v>12</v>
      </c>
      <c r="G18" s="2" t="str">
        <f aca="false">IF(F18="","",IF(F18="OK","26",IF(OR(D18="OK",E18="OK"),"23","Inconclusive")))</f>
        <v>26</v>
      </c>
      <c r="H18" s="2" t="str">
        <f aca="false">IF(OR(C18="",G18="",G18="Inconclusive"),"",IF(VALUE(G18)=IF(C18="03",3,VALUE(C18)),"Yes",IF(VALUE(G18)&gt;VALUE(C18),"Matrix higher","Matrix lower")))</f>
        <v>Yes</v>
      </c>
      <c r="I18" s="2"/>
    </row>
    <row r="19" customFormat="false" ht="15" hidden="false" customHeight="false" outlineLevel="0" collapsed="false">
      <c r="A19" s="2" t="s">
        <v>38</v>
      </c>
      <c r="B19" s="2" t="s">
        <v>15</v>
      </c>
      <c r="C19" s="2" t="s">
        <v>19</v>
      </c>
      <c r="D19" s="2" t="s">
        <v>12</v>
      </c>
      <c r="E19" s="2" t="s">
        <v>12</v>
      </c>
      <c r="F19" s="2" t="s">
        <v>12</v>
      </c>
      <c r="G19" s="2" t="str">
        <f aca="false">IF(F19="","",IF(F19="OK","26",IF(OR(D19="OK",E19="OK"),"23","Inconclusive")))</f>
        <v>26</v>
      </c>
      <c r="H19" s="2" t="str">
        <f aca="false">IF(OR(C19="",G19="",G19="Inconclusive"),"",IF(VALUE(G19)=IF(C19="03",3,VALUE(C19)),"Yes",IF(VALUE(G19)&gt;VALUE(C19),"Matrix higher","Matrix lower")))</f>
        <v>Matrix higher</v>
      </c>
      <c r="I19" s="2" t="s">
        <v>39</v>
      </c>
    </row>
    <row r="20" customFormat="false" ht="15" hidden="false" customHeight="false" outlineLevel="0" collapsed="false">
      <c r="A20" s="2" t="s">
        <v>40</v>
      </c>
      <c r="B20" s="2" t="s">
        <v>14</v>
      </c>
      <c r="C20" s="2" t="s">
        <v>11</v>
      </c>
      <c r="D20" s="2" t="s">
        <v>12</v>
      </c>
      <c r="E20" s="2" t="s">
        <v>12</v>
      </c>
      <c r="F20" s="2" t="s">
        <v>12</v>
      </c>
      <c r="G20" s="2" t="str">
        <f aca="false">IF(F20="","",IF(F20="OK","26",IF(OR(D20="OK",E20="OK"),"23","Inconclusive")))</f>
        <v>26</v>
      </c>
      <c r="H20" s="2" t="str">
        <f aca="false">IF(OR(C20="",G20="",G20="Inconclusive"),"",IF(VALUE(G20)=IF(C20="03",3,VALUE(C20)),"Yes",IF(VALUE(G20)&gt;VALUE(C20),"Matrix higher","Matrix lower")))</f>
        <v>Yes</v>
      </c>
      <c r="I20" s="2"/>
    </row>
    <row r="21" customFormat="false" ht="15" hidden="false" customHeight="false" outlineLevel="0" collapsed="false">
      <c r="A21" s="2" t="s">
        <v>41</v>
      </c>
      <c r="B21" s="2"/>
      <c r="C21" s="2"/>
      <c r="D21" s="2" t="s">
        <v>12</v>
      </c>
      <c r="E21" s="2" t="s">
        <v>12</v>
      </c>
      <c r="F21" s="2" t="s">
        <v>12</v>
      </c>
      <c r="G21" s="2" t="str">
        <f aca="false">IF(F21="","",IF(F21="OK","26",IF(OR(D21="OK",E21="OK"),"23","Inconclusive")))</f>
        <v>26</v>
      </c>
      <c r="H21" s="2" t="str">
        <f aca="false">IF(OR(C21="",G21="",G21="Inconclusive"),"",IF(VALUE(G21)=IF(C21="03",3,VALUE(C21)),"Yes",IF(VALUE(G21)&gt;VALUE(C21),"Matrix higher","Matrix lower")))</f>
        <v/>
      </c>
      <c r="I21" s="2"/>
    </row>
    <row r="22" customFormat="false" ht="15" hidden="false" customHeight="false" outlineLevel="0" collapsed="false">
      <c r="A22" s="2" t="s">
        <v>42</v>
      </c>
      <c r="B22" s="2" t="s">
        <v>14</v>
      </c>
      <c r="C22" s="2" t="s">
        <v>11</v>
      </c>
      <c r="D22" s="2" t="s">
        <v>12</v>
      </c>
      <c r="E22" s="2" t="s">
        <v>12</v>
      </c>
      <c r="F22" s="2" t="s">
        <v>12</v>
      </c>
      <c r="G22" s="2" t="str">
        <f aca="false">IF(F22="","",IF(F22="OK","26",IF(OR(D22="OK",E22="OK"),"23","Inconclusive")))</f>
        <v>26</v>
      </c>
      <c r="H22" s="2" t="str">
        <f aca="false">IF(OR(C22="",G22="",G22="Inconclusive"),"",IF(VALUE(G22)=IF(C22="03",3,VALUE(C22)),"Yes",IF(VALUE(G22)&gt;VALUE(C22),"Matrix higher","Matrix lower")))</f>
        <v>Yes</v>
      </c>
      <c r="I22" s="2"/>
    </row>
    <row r="23" customFormat="false" ht="15" hidden="false" customHeight="false" outlineLevel="0" collapsed="false">
      <c r="A23" s="2" t="s">
        <v>43</v>
      </c>
      <c r="B23" s="2" t="s">
        <v>14</v>
      </c>
      <c r="C23" s="2" t="s">
        <v>11</v>
      </c>
      <c r="D23" s="2" t="s">
        <v>12</v>
      </c>
      <c r="E23" s="2" t="s">
        <v>12</v>
      </c>
      <c r="F23" s="2" t="s">
        <v>12</v>
      </c>
      <c r="G23" s="2" t="str">
        <f aca="false">IF(F23="","",IF(F23="OK","26",IF(OR(D23="OK",E23="OK"),"23","Inconclusive")))</f>
        <v>26</v>
      </c>
      <c r="H23" s="2" t="str">
        <f aca="false">IF(OR(C23="",G23="",G23="Inconclusive"),"",IF(VALUE(G23)=IF(C23="03",3,VALUE(C23)),"Yes",IF(VALUE(G23)&gt;VALUE(C23),"Matrix higher","Matrix lower")))</f>
        <v>Yes</v>
      </c>
      <c r="I23" s="2"/>
    </row>
    <row r="24" customFormat="false" ht="15" hidden="false" customHeight="false" outlineLevel="0" collapsed="false">
      <c r="A24" s="2" t="s">
        <v>44</v>
      </c>
      <c r="B24" s="2" t="s">
        <v>14</v>
      </c>
      <c r="C24" s="2" t="s">
        <v>11</v>
      </c>
      <c r="D24" s="2" t="s">
        <v>12</v>
      </c>
      <c r="E24" s="2" t="s">
        <v>12</v>
      </c>
      <c r="F24" s="2" t="s">
        <v>12</v>
      </c>
      <c r="G24" s="2" t="str">
        <f aca="false">IF(F24="","",IF(F24="OK","26",IF(OR(D24="OK",E24="OK"),"23","Inconclusive")))</f>
        <v>26</v>
      </c>
      <c r="H24" s="2" t="str">
        <f aca="false">IF(OR(C24="",G24="",G24="Inconclusive"),"",IF(VALUE(G24)=IF(C24="03",3,VALUE(C24)),"Yes",IF(VALUE(G24)&gt;VALUE(C24),"Matrix higher","Matrix lower")))</f>
        <v>Yes</v>
      </c>
      <c r="I24" s="2"/>
    </row>
    <row r="25" customFormat="false" ht="15" hidden="false" customHeight="false" outlineLevel="0" collapsed="false">
      <c r="A25" s="2" t="s">
        <v>45</v>
      </c>
      <c r="B25" s="2" t="s">
        <v>10</v>
      </c>
      <c r="C25" s="2" t="s">
        <v>11</v>
      </c>
      <c r="D25" s="2" t="s">
        <v>12</v>
      </c>
      <c r="E25" s="2" t="s">
        <v>12</v>
      </c>
      <c r="F25" s="2" t="s">
        <v>12</v>
      </c>
      <c r="G25" s="2" t="str">
        <f aca="false">IF(F25="","",IF(F25="OK","26",IF(OR(D25="OK",E25="OK"),"23","Inconclusive")))</f>
        <v>26</v>
      </c>
      <c r="H25" s="2" t="str">
        <f aca="false">IF(OR(C25="",G25="",G25="Inconclusive"),"",IF(VALUE(G25)=IF(C25="03",3,VALUE(C25)),"Yes",IF(VALUE(G25)&gt;VALUE(C25),"Matrix higher","Matrix lower")))</f>
        <v>Yes</v>
      </c>
      <c r="I25" s="2"/>
    </row>
    <row r="26" customFormat="false" ht="15" hidden="false" customHeight="false" outlineLevel="0" collapsed="false">
      <c r="A26" s="2" t="s">
        <v>46</v>
      </c>
      <c r="B26" s="2" t="s">
        <v>10</v>
      </c>
      <c r="C26" s="2" t="s">
        <v>47</v>
      </c>
      <c r="D26" s="2" t="s">
        <v>12</v>
      </c>
      <c r="E26" s="2" t="s">
        <v>12</v>
      </c>
      <c r="F26" s="2" t="s">
        <v>12</v>
      </c>
      <c r="G26" s="2" t="str">
        <f aca="false">IF(F26="","",IF(F26="OK","26",IF(OR(D26="OK",E26="OK"),"23","Inconclusive")))</f>
        <v>26</v>
      </c>
      <c r="H26" s="2" t="str">
        <f aca="false">IF(OR(C26="",G26="",G26="Inconclusive"),"",IF(VALUE(G26)=IF(C26="03",3,VALUE(C26)),"Yes",IF(VALUE(G26)&gt;VALUE(C26),"Matrix higher","Matrix lower")))</f>
        <v>Matrix higher</v>
      </c>
      <c r="I26" s="2" t="s">
        <v>48</v>
      </c>
    </row>
    <row r="27" customFormat="false" ht="15" hidden="false" customHeight="false" outlineLevel="0" collapsed="false">
      <c r="A27" s="2" t="s">
        <v>49</v>
      </c>
      <c r="B27" s="2" t="s">
        <v>10</v>
      </c>
      <c r="C27" s="2" t="s">
        <v>11</v>
      </c>
      <c r="D27" s="2" t="s">
        <v>12</v>
      </c>
      <c r="E27" s="2" t="s">
        <v>12</v>
      </c>
      <c r="F27" s="2" t="s">
        <v>12</v>
      </c>
      <c r="G27" s="2" t="str">
        <f aca="false">IF(F27="","",IF(F27="OK","26",IF(OR(D27="OK",E27="OK"),"23","Inconclusive")))</f>
        <v>26</v>
      </c>
      <c r="H27" s="2" t="str">
        <f aca="false">IF(OR(C27="",G27="",G27="Inconclusive"),"",IF(VALUE(G27)=IF(C27="03",3,VALUE(C27)),"Yes",IF(VALUE(G27)&gt;VALUE(C27),"Matrix higher","Matrix lower")))</f>
        <v>Yes</v>
      </c>
      <c r="I27" s="2"/>
    </row>
    <row r="28" customFormat="false" ht="15" hidden="false" customHeight="false" outlineLevel="0" collapsed="false">
      <c r="A28" s="2" t="s">
        <v>50</v>
      </c>
      <c r="B28" s="2" t="s">
        <v>14</v>
      </c>
      <c r="C28" s="2" t="s">
        <v>11</v>
      </c>
      <c r="D28" s="2" t="s">
        <v>12</v>
      </c>
      <c r="E28" s="2" t="s">
        <v>12</v>
      </c>
      <c r="F28" s="2" t="s">
        <v>12</v>
      </c>
      <c r="G28" s="2" t="str">
        <f aca="false">IF(F28="","",IF(F28="OK","26",IF(OR(D28="OK",E28="OK"),"23","Inconclusive")))</f>
        <v>26</v>
      </c>
      <c r="H28" s="2" t="str">
        <f aca="false">IF(OR(C28="",G28="",G28="Inconclusive"),"",IF(VALUE(G28)=IF(C28="03",3,VALUE(C28)),"Yes",IF(VALUE(G28)&gt;VALUE(C28),"Matrix higher","Matrix lower")))</f>
        <v>Yes</v>
      </c>
      <c r="I28" s="2"/>
    </row>
    <row r="29" customFormat="false" ht="15" hidden="false" customHeight="false" outlineLevel="0" collapsed="false">
      <c r="A29" s="2" t="s">
        <v>51</v>
      </c>
      <c r="B29" s="2" t="s">
        <v>10</v>
      </c>
      <c r="C29" s="2" t="s">
        <v>11</v>
      </c>
      <c r="D29" s="2" t="s">
        <v>12</v>
      </c>
      <c r="E29" s="2" t="s">
        <v>12</v>
      </c>
      <c r="F29" s="2" t="s">
        <v>12</v>
      </c>
      <c r="G29" s="2" t="str">
        <f aca="false">IF(F29="","",IF(F29="OK","26",IF(OR(D29="OK",E29="OK"),"23","Inconclusive")))</f>
        <v>26</v>
      </c>
      <c r="H29" s="2" t="str">
        <f aca="false">IF(OR(C29="",G29="",G29="Inconclusive"),"",IF(VALUE(G29)=IF(C29="03",3,VALUE(C29)),"Yes",IF(VALUE(G29)&gt;VALUE(C29),"Matrix higher","Matrix lower")))</f>
        <v>Yes</v>
      </c>
      <c r="I29" s="2"/>
    </row>
    <row r="30" customFormat="false" ht="15" hidden="false" customHeight="false" outlineLevel="0" collapsed="false">
      <c r="A30" s="2" t="s">
        <v>52</v>
      </c>
      <c r="B30" s="2" t="s">
        <v>14</v>
      </c>
      <c r="C30" s="2" t="s">
        <v>11</v>
      </c>
      <c r="D30" s="2" t="s">
        <v>12</v>
      </c>
      <c r="E30" s="2" t="s">
        <v>12</v>
      </c>
      <c r="F30" s="2" t="s">
        <v>12</v>
      </c>
      <c r="G30" s="2" t="str">
        <f aca="false">IF(F30="","",IF(F30="OK","26",IF(OR(D30="OK",E30="OK"),"23","Inconclusive")))</f>
        <v>26</v>
      </c>
      <c r="H30" s="2" t="str">
        <f aca="false">IF(OR(C30="",G30="",G30="Inconclusive"),"",IF(VALUE(G30)=IF(C30="03",3,VALUE(C30)),"Yes",IF(VALUE(G30)&gt;VALUE(C30),"Matrix higher","Matrix lower")))</f>
        <v>Yes</v>
      </c>
      <c r="I30" s="2"/>
    </row>
    <row r="31" customFormat="false" ht="15" hidden="false" customHeight="false" outlineLevel="0" collapsed="false">
      <c r="A31" s="2" t="s">
        <v>53</v>
      </c>
      <c r="B31" s="2"/>
      <c r="C31" s="2"/>
      <c r="D31" s="2" t="s">
        <v>12</v>
      </c>
      <c r="E31" s="2" t="s">
        <v>12</v>
      </c>
      <c r="F31" s="2" t="s">
        <v>12</v>
      </c>
      <c r="G31" s="2" t="str">
        <f aca="false">IF(F31="","",IF(F31="OK","26",IF(OR(D31="OK",E31="OK"),"23","Inconclusive")))</f>
        <v>26</v>
      </c>
      <c r="H31" s="2" t="str">
        <f aca="false">IF(OR(C31="",G31="",G31="Inconclusive"),"",IF(VALUE(G31)=IF(C31="03",3,VALUE(C31)),"Yes",IF(VALUE(G31)&gt;VALUE(C31),"Matrix higher","Matrix lower")))</f>
        <v/>
      </c>
      <c r="I31" s="2"/>
    </row>
    <row r="32" customFormat="false" ht="15" hidden="false" customHeight="false" outlineLevel="0" collapsed="false">
      <c r="A32" s="2" t="s">
        <v>54</v>
      </c>
      <c r="B32" s="2" t="s">
        <v>10</v>
      </c>
      <c r="C32" s="2" t="s">
        <v>47</v>
      </c>
      <c r="D32" s="2" t="s">
        <v>12</v>
      </c>
      <c r="E32" s="2" t="s">
        <v>12</v>
      </c>
      <c r="F32" s="2" t="s">
        <v>12</v>
      </c>
      <c r="G32" s="2" t="str">
        <f aca="false">IF(F32="","",IF(F32="OK","26",IF(OR(D32="OK",E32="OK"),"23","Inconclusive")))</f>
        <v>26</v>
      </c>
      <c r="H32" s="2" t="str">
        <f aca="false">IF(OR(C32="",G32="",G32="Inconclusive"),"",IF(VALUE(G32)=IF(C32="03",3,VALUE(C32)),"Yes",IF(VALUE(G32)&gt;VALUE(C32),"Matrix higher","Matrix lower")))</f>
        <v>Matrix higher</v>
      </c>
      <c r="I32" s="2"/>
    </row>
    <row r="33" customFormat="false" ht="15" hidden="false" customHeight="false" outlineLevel="0" collapsed="false">
      <c r="A33" s="2" t="s">
        <v>55</v>
      </c>
      <c r="B33" s="2" t="s">
        <v>10</v>
      </c>
      <c r="C33" s="2" t="s">
        <v>11</v>
      </c>
      <c r="D33" s="2" t="s">
        <v>12</v>
      </c>
      <c r="E33" s="2" t="s">
        <v>12</v>
      </c>
      <c r="F33" s="2" t="s">
        <v>12</v>
      </c>
      <c r="G33" s="2" t="str">
        <f aca="false">IF(F33="","",IF(F33="OK","26",IF(OR(D33="OK",E33="OK"),"23","Inconclusive")))</f>
        <v>26</v>
      </c>
      <c r="H33" s="2" t="str">
        <f aca="false">IF(OR(C33="",G33="",G33="Inconclusive"),"",IF(VALUE(G33)=IF(C33="03",3,VALUE(C33)),"Yes",IF(VALUE(G33)&gt;VALUE(C33),"Matrix higher","Matrix lower")))</f>
        <v>Yes</v>
      </c>
      <c r="I33" s="2"/>
    </row>
    <row r="34" customFormat="false" ht="15" hidden="false" customHeight="false" outlineLevel="0" collapsed="false">
      <c r="A34" s="2" t="s">
        <v>56</v>
      </c>
      <c r="B34" s="2" t="s">
        <v>14</v>
      </c>
      <c r="C34" s="2" t="s">
        <v>11</v>
      </c>
      <c r="D34" s="2" t="s">
        <v>12</v>
      </c>
      <c r="E34" s="2" t="s">
        <v>12</v>
      </c>
      <c r="F34" s="2" t="s">
        <v>12</v>
      </c>
      <c r="G34" s="2" t="str">
        <f aca="false">IF(F34="","",IF(F34="OK","26",IF(OR(D34="OK",E34="OK"),"23","Inconclusive")))</f>
        <v>26</v>
      </c>
      <c r="H34" s="2" t="str">
        <f aca="false">IF(OR(C34="",G34="",G34="Inconclusive"),"",IF(VALUE(G34)=IF(C34="03",3,VALUE(C34)),"Yes",IF(VALUE(G34)&gt;VALUE(C34),"Matrix higher","Matrix lower")))</f>
        <v>Yes</v>
      </c>
      <c r="I34" s="2"/>
    </row>
    <row r="35" customFormat="false" ht="15" hidden="false" customHeight="false" outlineLevel="0" collapsed="false">
      <c r="A35" s="2" t="s">
        <v>57</v>
      </c>
      <c r="B35" s="2" t="s">
        <v>14</v>
      </c>
      <c r="C35" s="2" t="s">
        <v>11</v>
      </c>
      <c r="D35" s="2" t="s">
        <v>34</v>
      </c>
      <c r="E35" s="2" t="s">
        <v>34</v>
      </c>
      <c r="F35" s="2" t="s">
        <v>34</v>
      </c>
      <c r="G35" s="2" t="str">
        <f aca="false">IF(F35="","",IF(F35="OK","26",IF(OR(D35="OK",E35="OK"),"23","Inconclusive")))</f>
        <v>Inconclusive</v>
      </c>
      <c r="H35" s="2" t="str">
        <f aca="false">IF(OR(C35="",G35="",G35="Inconclusive"),"",IF(VALUE(G35)=IF(C35="03",3,VALUE(C35)),"Yes",IF(VALUE(G35)&gt;VALUE(C35),"Matrix higher","Matrix lower")))</f>
        <v/>
      </c>
      <c r="I35" s="2" t="s">
        <v>58</v>
      </c>
    </row>
    <row r="36" customFormat="false" ht="15" hidden="false" customHeight="false" outlineLevel="0" collapsed="false">
      <c r="A36" s="2" t="s">
        <v>59</v>
      </c>
      <c r="B36" s="2" t="s">
        <v>14</v>
      </c>
      <c r="C36" s="2" t="s">
        <v>11</v>
      </c>
      <c r="D36" s="2" t="s">
        <v>12</v>
      </c>
      <c r="E36" s="2" t="s">
        <v>12</v>
      </c>
      <c r="F36" s="2" t="s">
        <v>12</v>
      </c>
      <c r="G36" s="2" t="str">
        <f aca="false">IF(F36="","",IF(F36="OK","26",IF(OR(D36="OK",E36="OK"),"23","Inconclusive")))</f>
        <v>26</v>
      </c>
      <c r="H36" s="2" t="str">
        <f aca="false">IF(OR(C36="",G36="",G36="Inconclusive"),"",IF(VALUE(G36)=IF(C36="03",3,VALUE(C36)),"Yes",IF(VALUE(G36)&gt;VALUE(C36),"Matrix higher","Matrix lower")))</f>
        <v>Yes</v>
      </c>
      <c r="I36" s="2"/>
    </row>
    <row r="37" customFormat="false" ht="15" hidden="false" customHeight="false" outlineLevel="0" collapsed="false">
      <c r="A37" s="2" t="s">
        <v>60</v>
      </c>
      <c r="B37" s="2" t="s">
        <v>10</v>
      </c>
      <c r="C37" s="2" t="s">
        <v>11</v>
      </c>
      <c r="D37" s="2" t="s">
        <v>12</v>
      </c>
      <c r="E37" s="2" t="s">
        <v>12</v>
      </c>
      <c r="F37" s="2" t="s">
        <v>12</v>
      </c>
      <c r="G37" s="2" t="str">
        <f aca="false">IF(F37="","",IF(F37="OK","26",IF(OR(D37="OK",E37="OK"),"23","Inconclusive")))</f>
        <v>26</v>
      </c>
      <c r="H37" s="2" t="str">
        <f aca="false">IF(OR(C37="",G37="",G37="Inconclusive"),"",IF(VALUE(G37)=IF(C37="03",3,VALUE(C37)),"Yes",IF(VALUE(G37)&gt;VALUE(C37),"Matrix higher","Matrix lower")))</f>
        <v>Yes</v>
      </c>
      <c r="I37" s="2"/>
    </row>
    <row r="38" customFormat="false" ht="15" hidden="false" customHeight="false" outlineLevel="0" collapsed="false">
      <c r="A38" s="2" t="s">
        <v>61</v>
      </c>
      <c r="B38" s="2" t="s">
        <v>10</v>
      </c>
      <c r="C38" s="2" t="s">
        <v>19</v>
      </c>
      <c r="D38" s="2" t="s">
        <v>12</v>
      </c>
      <c r="E38" s="2" t="s">
        <v>12</v>
      </c>
      <c r="F38" s="2" t="s">
        <v>12</v>
      </c>
      <c r="G38" s="2" t="str">
        <f aca="false">IF(F38="","",IF(F38="OK","26",IF(OR(D38="OK",E38="OK"),"23","Inconclusive")))</f>
        <v>26</v>
      </c>
      <c r="H38" s="2" t="str">
        <f aca="false">IF(OR(C38="",G38="",G38="Inconclusive"),"",IF(VALUE(G38)=IF(C38="03",3,VALUE(C38)),"Yes",IF(VALUE(G38)&gt;VALUE(C38),"Matrix higher","Matrix lower")))</f>
        <v>Matrix higher</v>
      </c>
      <c r="I38" s="2"/>
    </row>
    <row r="39" customFormat="false" ht="15" hidden="false" customHeight="false" outlineLevel="0" collapsed="false">
      <c r="A39" s="2" t="s">
        <v>62</v>
      </c>
      <c r="B39" s="2" t="s">
        <v>10</v>
      </c>
      <c r="C39" s="2" t="s">
        <v>11</v>
      </c>
      <c r="D39" s="2" t="s">
        <v>12</v>
      </c>
      <c r="E39" s="2" t="s">
        <v>12</v>
      </c>
      <c r="F39" s="2" t="s">
        <v>12</v>
      </c>
      <c r="G39" s="2" t="str">
        <f aca="false">IF(F39="","",IF(F39="OK","26",IF(OR(D39="OK",E39="OK"),"23","Inconclusive")))</f>
        <v>26</v>
      </c>
      <c r="H39" s="2" t="str">
        <f aca="false">IF(OR(C39="",G39="",G39="Inconclusive"),"",IF(VALUE(G39)=IF(C39="03",3,VALUE(C39)),"Yes",IF(VALUE(G39)&gt;VALUE(C39),"Matrix higher","Matrix lower")))</f>
        <v>Yes</v>
      </c>
      <c r="I39" s="2"/>
    </row>
    <row r="40" customFormat="false" ht="15" hidden="false" customHeight="false" outlineLevel="0" collapsed="false">
      <c r="A40" s="2" t="s">
        <v>63</v>
      </c>
      <c r="B40" s="2" t="s">
        <v>10</v>
      </c>
      <c r="C40" s="2" t="s">
        <v>11</v>
      </c>
      <c r="D40" s="2" t="s">
        <v>12</v>
      </c>
      <c r="E40" s="2" t="s">
        <v>12</v>
      </c>
      <c r="F40" s="2" t="s">
        <v>12</v>
      </c>
      <c r="G40" s="2" t="str">
        <f aca="false">IF(F40="","",IF(F40="OK","26",IF(OR(D40="OK",E40="OK"),"23","Inconclusive")))</f>
        <v>26</v>
      </c>
      <c r="H40" s="2" t="str">
        <f aca="false">IF(OR(C40="",G40="",G40="Inconclusive"),"",IF(VALUE(G40)=IF(C40="03",3,VALUE(C40)),"Yes",IF(VALUE(G40)&gt;VALUE(C40),"Matrix higher","Matrix lower")))</f>
        <v>Yes</v>
      </c>
      <c r="I40" s="2"/>
    </row>
    <row r="41" customFormat="false" ht="15" hidden="false" customHeight="false" outlineLevel="0" collapsed="false">
      <c r="A41" s="2" t="s">
        <v>64</v>
      </c>
      <c r="B41" s="2" t="s">
        <v>14</v>
      </c>
      <c r="C41" s="2" t="s">
        <v>11</v>
      </c>
      <c r="D41" s="2" t="s">
        <v>29</v>
      </c>
      <c r="E41" s="2" t="s">
        <v>29</v>
      </c>
      <c r="F41" s="2" t="s">
        <v>29</v>
      </c>
      <c r="G41" s="2" t="str">
        <f aca="false">IF(F41="","",IF(F41="OK","26",IF(OR(D41="OK",E41="OK"),"23","Inconclusive")))</f>
        <v>Inconclusive</v>
      </c>
      <c r="H41" s="2" t="str">
        <f aca="false">IF(OR(C41="",G41="",G41="Inconclusive"),"",IF(VALUE(G41)=IF(C41="03",3,VALUE(C41)),"Yes",IF(VALUE(G41)&gt;VALUE(C41),"Matrix higher","Matrix lower")))</f>
        <v/>
      </c>
      <c r="I41" s="2" t="s">
        <v>65</v>
      </c>
    </row>
    <row r="42" customFormat="false" ht="15" hidden="false" customHeight="false" outlineLevel="0" collapsed="false">
      <c r="A42" s="2" t="s">
        <v>66</v>
      </c>
      <c r="B42" s="2"/>
      <c r="C42" s="2"/>
      <c r="D42" s="2" t="s">
        <v>12</v>
      </c>
      <c r="E42" s="2" t="s">
        <v>12</v>
      </c>
      <c r="F42" s="2" t="s">
        <v>12</v>
      </c>
      <c r="G42" s="2" t="str">
        <f aca="false">IF(F42="","",IF(F42="OK","26",IF(OR(D42="OK",E42="OK"),"23","Inconclusive")))</f>
        <v>26</v>
      </c>
      <c r="H42" s="2" t="str">
        <f aca="false">IF(OR(C42="",G42="",G42="Inconclusive"),"",IF(VALUE(G42)=IF(C42="03",3,VALUE(C42)),"Yes",IF(VALUE(G42)&gt;VALUE(C42),"Matrix higher","Matrix lower")))</f>
        <v/>
      </c>
      <c r="I42" s="2"/>
    </row>
    <row r="43" customFormat="false" ht="15" hidden="false" customHeight="false" outlineLevel="0" collapsed="false">
      <c r="A43" s="2" t="s">
        <v>67</v>
      </c>
      <c r="B43" s="2" t="s">
        <v>10</v>
      </c>
      <c r="C43" s="2" t="s">
        <v>11</v>
      </c>
      <c r="D43" s="2" t="s">
        <v>12</v>
      </c>
      <c r="E43" s="2" t="s">
        <v>12</v>
      </c>
      <c r="F43" s="2" t="s">
        <v>12</v>
      </c>
      <c r="G43" s="2" t="str">
        <f aca="false">IF(F43="","",IF(F43="OK","26",IF(OR(D43="OK",E43="OK"),"23","Inconclusive")))</f>
        <v>26</v>
      </c>
      <c r="H43" s="2" t="str">
        <f aca="false">IF(OR(C43="",G43="",G43="Inconclusive"),"",IF(VALUE(G43)=IF(C43="03",3,VALUE(C43)),"Yes",IF(VALUE(G43)&gt;VALUE(C43),"Matrix higher","Matrix lower")))</f>
        <v>Yes</v>
      </c>
      <c r="I43" s="2"/>
    </row>
    <row r="44" customFormat="false" ht="15" hidden="false" customHeight="false" outlineLevel="0" collapsed="false">
      <c r="A44" s="2" t="s">
        <v>68</v>
      </c>
      <c r="B44" s="2" t="s">
        <v>10</v>
      </c>
      <c r="C44" s="2" t="s">
        <v>19</v>
      </c>
      <c r="D44" s="2" t="s">
        <v>12</v>
      </c>
      <c r="E44" s="2" t="s">
        <v>12</v>
      </c>
      <c r="F44" s="2" t="s">
        <v>12</v>
      </c>
      <c r="G44" s="2" t="str">
        <f aca="false">IF(F44="","",IF(F44="OK","26",IF(OR(D44="OK",E44="OK"),"23","Inconclusive")))</f>
        <v>26</v>
      </c>
      <c r="H44" s="2" t="str">
        <f aca="false">IF(OR(C44="",G44="",G44="Inconclusive"),"",IF(VALUE(G44)=IF(C44="03",3,VALUE(C44)),"Yes",IF(VALUE(G44)&gt;VALUE(C44),"Matrix higher","Matrix lower")))</f>
        <v>Matrix higher</v>
      </c>
      <c r="I44" s="2"/>
    </row>
    <row r="45" customFormat="false" ht="15" hidden="false" customHeight="false" outlineLevel="0" collapsed="false">
      <c r="A45" s="2" t="s">
        <v>69</v>
      </c>
      <c r="B45" s="2"/>
      <c r="C45" s="2"/>
      <c r="D45" s="2" t="s">
        <v>12</v>
      </c>
      <c r="E45" s="2" t="s">
        <v>12</v>
      </c>
      <c r="F45" s="2" t="s">
        <v>12</v>
      </c>
      <c r="G45" s="2" t="str">
        <f aca="false">IF(F45="","",IF(F45="OK","26",IF(OR(D45="OK",E45="OK"),"23","Inconclusive")))</f>
        <v>26</v>
      </c>
      <c r="H45" s="2" t="str">
        <f aca="false">IF(OR(C45="",G45="",G45="Inconclusive"),"",IF(VALUE(G45)=IF(C45="03",3,VALUE(C45)),"Yes",IF(VALUE(G45)&gt;VALUE(C45),"Matrix higher","Matrix lower")))</f>
        <v/>
      </c>
      <c r="I45" s="2"/>
    </row>
    <row r="46" customFormat="false" ht="15" hidden="false" customHeight="false" outlineLevel="0" collapsed="false">
      <c r="A46" s="2" t="s">
        <v>70</v>
      </c>
      <c r="B46" s="2" t="s">
        <v>10</v>
      </c>
      <c r="C46" s="2" t="s">
        <v>11</v>
      </c>
      <c r="D46" s="2" t="s">
        <v>12</v>
      </c>
      <c r="E46" s="2" t="s">
        <v>12</v>
      </c>
      <c r="F46" s="2" t="s">
        <v>12</v>
      </c>
      <c r="G46" s="2" t="str">
        <f aca="false">IF(F46="","",IF(F46="OK","26",IF(OR(D46="OK",E46="OK"),"23","Inconclusive")))</f>
        <v>26</v>
      </c>
      <c r="H46" s="2" t="str">
        <f aca="false">IF(OR(C46="",G46="",G46="Inconclusive"),"",IF(VALUE(G46)=IF(C46="03",3,VALUE(C46)),"Yes",IF(VALUE(G46)&gt;VALUE(C46),"Matrix higher","Matrix lower")))</f>
        <v>Yes</v>
      </c>
      <c r="I46" s="2"/>
    </row>
    <row r="47" customFormat="false" ht="15" hidden="false" customHeight="false" outlineLevel="0" collapsed="false">
      <c r="A47" s="2" t="s">
        <v>71</v>
      </c>
      <c r="B47" s="2" t="s">
        <v>10</v>
      </c>
      <c r="C47" s="2" t="s">
        <v>11</v>
      </c>
      <c r="D47" s="2" t="s">
        <v>12</v>
      </c>
      <c r="E47" s="2" t="s">
        <v>12</v>
      </c>
      <c r="F47" s="2" t="s">
        <v>12</v>
      </c>
      <c r="G47" s="2" t="str">
        <f aca="false">IF(F47="","",IF(F47="OK","26",IF(OR(D47="OK",E47="OK"),"23","Inconclusive")))</f>
        <v>26</v>
      </c>
      <c r="H47" s="2" t="str">
        <f aca="false">IF(OR(C47="",G47="",G47="Inconclusive"),"",IF(VALUE(G47)=IF(C47="03",3,VALUE(C47)),"Yes",IF(VALUE(G47)&gt;VALUE(C47),"Matrix higher","Matrix lower")))</f>
        <v>Yes</v>
      </c>
      <c r="I47" s="2"/>
    </row>
    <row r="48" customFormat="false" ht="15" hidden="false" customHeight="false" outlineLevel="0" collapsed="false">
      <c r="A48" s="2" t="s">
        <v>72</v>
      </c>
      <c r="B48" s="2" t="s">
        <v>10</v>
      </c>
      <c r="C48" s="2" t="s">
        <v>11</v>
      </c>
      <c r="D48" s="2" t="s">
        <v>12</v>
      </c>
      <c r="E48" s="2" t="s">
        <v>12</v>
      </c>
      <c r="F48" s="2" t="s">
        <v>12</v>
      </c>
      <c r="G48" s="2" t="str">
        <f aca="false">IF(F48="","",IF(F48="OK","26",IF(OR(D48="OK",E48="OK"),"23","Inconclusive")))</f>
        <v>26</v>
      </c>
      <c r="H48" s="2" t="str">
        <f aca="false">IF(OR(C48="",G48="",G48="Inconclusive"),"",IF(VALUE(G48)=IF(C48="03",3,VALUE(C48)),"Yes",IF(VALUE(G48)&gt;VALUE(C48),"Matrix higher","Matrix lower")))</f>
        <v>Yes</v>
      </c>
      <c r="I48" s="2"/>
    </row>
    <row r="49" customFormat="false" ht="15" hidden="false" customHeight="false" outlineLevel="0" collapsed="false">
      <c r="A49" s="2" t="s">
        <v>73</v>
      </c>
      <c r="B49" s="2" t="s">
        <v>10</v>
      </c>
      <c r="C49" s="2" t="s">
        <v>19</v>
      </c>
      <c r="D49" s="2" t="s">
        <v>12</v>
      </c>
      <c r="E49" s="2" t="s">
        <v>12</v>
      </c>
      <c r="F49" s="2" t="s">
        <v>12</v>
      </c>
      <c r="G49" s="2" t="str">
        <f aca="false">IF(F49="","",IF(F49="OK","26",IF(OR(D49="OK",E49="OK"),"23","Inconclusive")))</f>
        <v>26</v>
      </c>
      <c r="H49" s="2" t="str">
        <f aca="false">IF(OR(C49="",G49="",G49="Inconclusive"),"",IF(VALUE(G49)=IF(C49="03",3,VALUE(C49)),"Yes",IF(VALUE(G49)&gt;VALUE(C49),"Matrix higher","Matrix lower")))</f>
        <v>Matrix higher</v>
      </c>
      <c r="I49" s="2"/>
    </row>
    <row r="50" customFormat="false" ht="15" hidden="false" customHeight="false" outlineLevel="0" collapsed="false">
      <c r="A50" s="2" t="s">
        <v>74</v>
      </c>
      <c r="B50" s="2" t="s">
        <v>10</v>
      </c>
      <c r="C50" s="2" t="s">
        <v>11</v>
      </c>
      <c r="D50" s="2" t="s">
        <v>12</v>
      </c>
      <c r="E50" s="2" t="s">
        <v>12</v>
      </c>
      <c r="F50" s="2" t="s">
        <v>12</v>
      </c>
      <c r="G50" s="2" t="str">
        <f aca="false">IF(F50="","",IF(F50="OK","26",IF(OR(D50="OK",E50="OK"),"23","Inconclusive")))</f>
        <v>26</v>
      </c>
      <c r="H50" s="2" t="str">
        <f aca="false">IF(OR(C50="",G50="",G50="Inconclusive"),"",IF(VALUE(G50)=IF(C50="03",3,VALUE(C50)),"Yes",IF(VALUE(G50)&gt;VALUE(C50),"Matrix higher","Matrix lower")))</f>
        <v>Yes</v>
      </c>
      <c r="I50" s="2"/>
    </row>
    <row r="51" customFormat="false" ht="15" hidden="false" customHeight="false" outlineLevel="0" collapsed="false">
      <c r="A51" s="2" t="s">
        <v>75</v>
      </c>
      <c r="B51" s="2" t="s">
        <v>76</v>
      </c>
      <c r="C51" s="2" t="s">
        <v>15</v>
      </c>
      <c r="D51" s="2" t="s">
        <v>12</v>
      </c>
      <c r="E51" s="2" t="s">
        <v>12</v>
      </c>
      <c r="F51" s="2" t="s">
        <v>12</v>
      </c>
      <c r="G51" s="2" t="str">
        <f aca="false">IF(F51="","",IF(F51="OK","26",IF(OR(D51="OK",E51="OK"),"23","Inconclusive")))</f>
        <v>26</v>
      </c>
      <c r="H51" s="2" t="str">
        <f aca="false">IF(OR(C51="",G51="",G51="Inconclusive"),"",IF(VALUE(G51)=IF(C51="03",3,VALUE(C51)),"Yes",IF(VALUE(G51)&gt;VALUE(C51),"Matrix higher","Matrix lower")))</f>
        <v>Matrix higher</v>
      </c>
      <c r="I51" s="2" t="s">
        <v>77</v>
      </c>
    </row>
    <row r="52" customFormat="false" ht="15" hidden="false" customHeight="false" outlineLevel="0" collapsed="false">
      <c r="A52" s="2" t="s">
        <v>78</v>
      </c>
      <c r="B52" s="2" t="s">
        <v>76</v>
      </c>
      <c r="C52" s="2" t="s">
        <v>19</v>
      </c>
      <c r="D52" s="2" t="s">
        <v>12</v>
      </c>
      <c r="E52" s="2" t="s">
        <v>29</v>
      </c>
      <c r="F52" s="2" t="s">
        <v>29</v>
      </c>
      <c r="G52" s="2" t="str">
        <f aca="false">IF(F52="","",IF(F52="OK","26",IF(OR(D52="OK",E52="OK"),"23","Inconclusive")))</f>
        <v>23</v>
      </c>
      <c r="H52" s="2" t="str">
        <f aca="false">IF(OR(C52="",G52="",G52="Inconclusive"),"",IF(VALUE(G52)=IF(C52="03",3,VALUE(C52)),"Yes",IF(VALUE(G52)&gt;VALUE(C52),"Matrix higher","Matrix lower")))</f>
        <v>Yes</v>
      </c>
      <c r="I52" s="2" t="s">
        <v>79</v>
      </c>
    </row>
    <row r="53" customFormat="false" ht="15" hidden="false" customHeight="false" outlineLevel="0" collapsed="false">
      <c r="A53" s="2" t="s">
        <v>80</v>
      </c>
      <c r="B53" s="2" t="s">
        <v>76</v>
      </c>
      <c r="C53" s="2" t="s">
        <v>19</v>
      </c>
      <c r="D53" s="2" t="s">
        <v>12</v>
      </c>
      <c r="E53" s="2" t="s">
        <v>12</v>
      </c>
      <c r="F53" s="2" t="s">
        <v>12</v>
      </c>
      <c r="G53" s="2" t="str">
        <f aca="false">IF(F53="","",IF(F53="OK","26",IF(OR(D53="OK",E53="OK"),"23","Inconclusive")))</f>
        <v>26</v>
      </c>
      <c r="H53" s="2" t="str">
        <f aca="false">IF(OR(C53="",G53="",G53="Inconclusive"),"",IF(VALUE(G53)=IF(C53="03",3,VALUE(C53)),"Yes",IF(VALUE(G53)&gt;VALUE(C53),"Matrix higher","Matrix lower")))</f>
        <v>Matrix higher</v>
      </c>
      <c r="I53" s="2" t="s">
        <v>81</v>
      </c>
    </row>
    <row r="54" customFormat="false" ht="15" hidden="false" customHeight="false" outlineLevel="0" collapsed="false">
      <c r="A54" s="2" t="s">
        <v>82</v>
      </c>
      <c r="B54" s="2" t="s">
        <v>76</v>
      </c>
      <c r="C54" s="2" t="s">
        <v>15</v>
      </c>
      <c r="D54" s="2" t="s">
        <v>12</v>
      </c>
      <c r="E54" s="2" t="s">
        <v>12</v>
      </c>
      <c r="F54" s="2" t="s">
        <v>12</v>
      </c>
      <c r="G54" s="2" t="str">
        <f aca="false">IF(F54="","",IF(F54="OK","26",IF(OR(D54="OK",E54="OK"),"23","Inconclusive")))</f>
        <v>26</v>
      </c>
      <c r="H54" s="2" t="str">
        <f aca="false">IF(OR(C54="",G54="",G54="Inconclusive"),"",IF(VALUE(G54)=IF(C54="03",3,VALUE(C54)),"Yes",IF(VALUE(G54)&gt;VALUE(C54),"Matrix higher","Matrix lower")))</f>
        <v>Matrix higher</v>
      </c>
      <c r="I54" s="2"/>
    </row>
    <row r="55" customFormat="false" ht="15" hidden="false" customHeight="false" outlineLevel="0" collapsed="false">
      <c r="A55" s="2" t="s">
        <v>83</v>
      </c>
      <c r="B55" s="2"/>
      <c r="C55" s="2"/>
      <c r="D55" s="2" t="s">
        <v>12</v>
      </c>
      <c r="E55" s="2" t="s">
        <v>12</v>
      </c>
      <c r="F55" s="2" t="s">
        <v>29</v>
      </c>
      <c r="G55" s="2" t="str">
        <f aca="false">IF(F55="","",IF(F55="OK","26",IF(OR(D55="OK",E55="OK"),"23","Inconclusive")))</f>
        <v>23</v>
      </c>
      <c r="H55" s="2" t="str">
        <f aca="false">IF(OR(C55="",G55="",G55="Inconclusive"),"",IF(VALUE(G55)=IF(C55="03",3,VALUE(C55)),"Yes",IF(VALUE(G55)&gt;VALUE(C55),"Matrix higher","Matrix lower")))</f>
        <v/>
      </c>
      <c r="I55" s="2" t="s">
        <v>84</v>
      </c>
    </row>
    <row r="56" customFormat="false" ht="15" hidden="false" customHeight="false" outlineLevel="0" collapsed="false">
      <c r="A56" s="2" t="s">
        <v>85</v>
      </c>
      <c r="B56" s="2" t="s">
        <v>10</v>
      </c>
      <c r="C56" s="2" t="s">
        <v>11</v>
      </c>
      <c r="D56" s="2" t="s">
        <v>12</v>
      </c>
      <c r="E56" s="2" t="s">
        <v>12</v>
      </c>
      <c r="F56" s="2" t="s">
        <v>12</v>
      </c>
      <c r="G56" s="2" t="str">
        <f aca="false">IF(F56="","",IF(F56="OK","26",IF(OR(D56="OK",E56="OK"),"23","Inconclusive")))</f>
        <v>26</v>
      </c>
      <c r="H56" s="2" t="str">
        <f aca="false">IF(OR(C56="",G56="",G56="Inconclusive"),"",IF(VALUE(G56)=IF(C56="03",3,VALUE(C56)),"Yes",IF(VALUE(G56)&gt;VALUE(C56),"Matrix higher","Matrix lower")))</f>
        <v>Yes</v>
      </c>
      <c r="I56" s="2" t="s">
        <v>86</v>
      </c>
    </row>
    <row r="57" customFormat="false" ht="15" hidden="false" customHeight="false" outlineLevel="0" collapsed="false">
      <c r="A57" s="2" t="s">
        <v>87</v>
      </c>
      <c r="B57" s="2"/>
      <c r="C57" s="2"/>
      <c r="D57" s="2" t="s">
        <v>12</v>
      </c>
      <c r="E57" s="2" t="s">
        <v>12</v>
      </c>
      <c r="F57" s="2" t="s">
        <v>12</v>
      </c>
      <c r="G57" s="2" t="str">
        <f aca="false">IF(F57="","",IF(F57="OK","26",IF(OR(D57="OK",E57="OK"),"23","Inconclusive")))</f>
        <v>26</v>
      </c>
      <c r="H57" s="2" t="str">
        <f aca="false">IF(OR(C57="",G57="",G57="Inconclusive"),"",IF(VALUE(G57)=IF(C57="03",3,VALUE(C57)),"Yes",IF(VALUE(G57)&gt;VALUE(C57),"Matrix higher","Matrix lower")))</f>
        <v/>
      </c>
      <c r="I57" s="2"/>
    </row>
    <row r="58" customFormat="false" ht="15" hidden="false" customHeight="false" outlineLevel="0" collapsed="false">
      <c r="A58" s="2" t="s">
        <v>88</v>
      </c>
      <c r="B58" s="2" t="s">
        <v>14</v>
      </c>
      <c r="C58" s="2" t="s">
        <v>11</v>
      </c>
      <c r="D58" s="2" t="s">
        <v>12</v>
      </c>
      <c r="E58" s="2" t="s">
        <v>12</v>
      </c>
      <c r="F58" s="2" t="s">
        <v>12</v>
      </c>
      <c r="G58" s="2" t="str">
        <f aca="false">IF(F58="","",IF(F58="OK","26",IF(OR(D58="OK",E58="OK"),"23","Inconclusive")))</f>
        <v>26</v>
      </c>
      <c r="H58" s="2" t="str">
        <f aca="false">IF(OR(C58="",G58="",G58="Inconclusive"),"",IF(VALUE(G58)=IF(C58="03",3,VALUE(C58)),"Yes",IF(VALUE(G58)&gt;VALUE(C58),"Matrix higher","Matrix lower")))</f>
        <v>Yes</v>
      </c>
      <c r="I58" s="2" t="s">
        <v>86</v>
      </c>
    </row>
    <row r="59" customFormat="false" ht="15" hidden="false" customHeight="false" outlineLevel="0" collapsed="false">
      <c r="A59" s="2" t="s">
        <v>89</v>
      </c>
      <c r="B59" s="2" t="s">
        <v>76</v>
      </c>
      <c r="C59" s="2" t="s">
        <v>15</v>
      </c>
      <c r="D59" s="2" t="s">
        <v>12</v>
      </c>
      <c r="E59" s="2" t="s">
        <v>12</v>
      </c>
      <c r="F59" s="2" t="s">
        <v>12</v>
      </c>
      <c r="G59" s="2" t="str">
        <f aca="false">IF(F59="","",IF(F59="OK","26",IF(OR(D59="OK",E59="OK"),"23","Inconclusive")))</f>
        <v>26</v>
      </c>
      <c r="H59" s="2" t="str">
        <f aca="false">IF(OR(C59="",G59="",G59="Inconclusive"),"",IF(VALUE(G59)=IF(C59="03",3,VALUE(C59)),"Yes",IF(VALUE(G59)&gt;VALUE(C59),"Matrix higher","Matrix lower")))</f>
        <v>Matrix higher</v>
      </c>
      <c r="I59" s="2"/>
    </row>
    <row r="60" customFormat="false" ht="15" hidden="false" customHeight="false" outlineLevel="0" collapsed="false">
      <c r="A60" s="2" t="s">
        <v>90</v>
      </c>
      <c r="B60" s="2" t="s">
        <v>10</v>
      </c>
      <c r="C60" s="2" t="s">
        <v>10</v>
      </c>
      <c r="D60" s="2" t="s">
        <v>12</v>
      </c>
      <c r="E60" s="2" t="s">
        <v>12</v>
      </c>
      <c r="F60" s="2" t="s">
        <v>12</v>
      </c>
      <c r="G60" s="2" t="str">
        <f aca="false">IF(F60="","",IF(F60="OK","26",IF(OR(D60="OK",E60="OK"),"23","Inconclusive")))</f>
        <v>26</v>
      </c>
      <c r="H60" s="2" t="str">
        <f aca="false">IF(OR(C60="",G60="",G60="Inconclusive"),"",IF(VALUE(G60)=IF(C60="03",3,VALUE(C60)),"Yes",IF(VALUE(G60)&gt;VALUE(C60),"Matrix higher","Matrix lower")))</f>
        <v>Matrix higher</v>
      </c>
      <c r="I60" s="2" t="s">
        <v>91</v>
      </c>
    </row>
    <row r="61" customFormat="false" ht="15" hidden="false" customHeight="false" outlineLevel="0" collapsed="false">
      <c r="A61" s="2" t="s">
        <v>92</v>
      </c>
      <c r="B61" s="2" t="s">
        <v>10</v>
      </c>
      <c r="C61" s="2" t="s">
        <v>11</v>
      </c>
      <c r="D61" s="2" t="s">
        <v>12</v>
      </c>
      <c r="E61" s="2" t="s">
        <v>12</v>
      </c>
      <c r="F61" s="2" t="s">
        <v>12</v>
      </c>
      <c r="G61" s="2" t="str">
        <f aca="false">IF(F61="","",IF(F61="OK","26",IF(OR(D61="OK",E61="OK"),"23","Inconclusive")))</f>
        <v>26</v>
      </c>
      <c r="H61" s="2" t="str">
        <f aca="false">IF(OR(C61="",G61="",G61="Inconclusive"),"",IF(VALUE(G61)=IF(C61="03",3,VALUE(C61)),"Yes",IF(VALUE(G61)&gt;VALUE(C61),"Matrix higher","Matrix lower")))</f>
        <v>Yes</v>
      </c>
      <c r="I61" s="2"/>
    </row>
    <row r="62" customFormat="false" ht="15" hidden="false" customHeight="false" outlineLevel="0" collapsed="false">
      <c r="A62" s="2" t="s">
        <v>93</v>
      </c>
      <c r="B62" s="2" t="s">
        <v>14</v>
      </c>
      <c r="C62" s="2" t="s">
        <v>11</v>
      </c>
      <c r="D62" s="2" t="s">
        <v>12</v>
      </c>
      <c r="E62" s="2" t="s">
        <v>12</v>
      </c>
      <c r="F62" s="2" t="s">
        <v>12</v>
      </c>
      <c r="G62" s="2" t="str">
        <f aca="false">IF(F62="","",IF(F62="OK","26",IF(OR(D62="OK",E62="OK"),"23","Inconclusive")))</f>
        <v>26</v>
      </c>
      <c r="H62" s="2" t="str">
        <f aca="false">IF(OR(C62="",G62="",G62="Inconclusive"),"",IF(VALUE(G62)=IF(C62="03",3,VALUE(C62)),"Yes",IF(VALUE(G62)&gt;VALUE(C62),"Matrix higher","Matrix lower")))</f>
        <v>Yes</v>
      </c>
      <c r="I62" s="2" t="s">
        <v>94</v>
      </c>
    </row>
    <row r="63" customFormat="false" ht="15" hidden="false" customHeight="false" outlineLevel="0" collapsed="false">
      <c r="A63" s="2" t="s">
        <v>95</v>
      </c>
      <c r="B63" s="2" t="s">
        <v>14</v>
      </c>
      <c r="C63" s="2" t="s">
        <v>11</v>
      </c>
      <c r="D63" s="2" t="s">
        <v>12</v>
      </c>
      <c r="E63" s="2" t="s">
        <v>12</v>
      </c>
      <c r="F63" s="2" t="s">
        <v>12</v>
      </c>
      <c r="G63" s="2" t="str">
        <f aca="false">IF(F63="","",IF(F63="OK","26",IF(OR(D63="OK",E63="OK"),"23","Inconclusive")))</f>
        <v>26</v>
      </c>
      <c r="H63" s="2" t="str">
        <f aca="false">IF(OR(C63="",G63="",G63="Inconclusive"),"",IF(VALUE(G63)=IF(C63="03",3,VALUE(C63)),"Yes",IF(VALUE(G63)&gt;VALUE(C63),"Matrix higher","Matrix lower")))</f>
        <v>Yes</v>
      </c>
      <c r="I63" s="2"/>
    </row>
    <row r="64" customFormat="false" ht="15" hidden="false" customHeight="false" outlineLevel="0" collapsed="false">
      <c r="A64" s="2" t="s">
        <v>96</v>
      </c>
      <c r="B64" s="2" t="s">
        <v>14</v>
      </c>
      <c r="C64" s="2" t="s">
        <v>11</v>
      </c>
      <c r="D64" s="2" t="s">
        <v>12</v>
      </c>
      <c r="E64" s="2" t="s">
        <v>12</v>
      </c>
      <c r="F64" s="2" t="s">
        <v>12</v>
      </c>
      <c r="G64" s="2" t="str">
        <f aca="false">IF(F64="","",IF(F64="OK","26",IF(OR(D64="OK",E64="OK"),"23","Inconclusive")))</f>
        <v>26</v>
      </c>
      <c r="H64" s="2" t="str">
        <f aca="false">IF(OR(C64="",G64="",G64="Inconclusive"),"",IF(VALUE(G64)=IF(C64="03",3,VALUE(C64)),"Yes",IF(VALUE(G64)&gt;VALUE(C64),"Matrix higher","Matrix lower")))</f>
        <v>Yes</v>
      </c>
      <c r="I64" s="2" t="s">
        <v>86</v>
      </c>
    </row>
    <row r="65" customFormat="false" ht="15" hidden="false" customHeight="false" outlineLevel="0" collapsed="false">
      <c r="A65" s="2" t="s">
        <v>97</v>
      </c>
      <c r="B65" s="2" t="s">
        <v>14</v>
      </c>
      <c r="C65" s="2" t="s">
        <v>11</v>
      </c>
      <c r="D65" s="2" t="s">
        <v>12</v>
      </c>
      <c r="E65" s="2" t="s">
        <v>12</v>
      </c>
      <c r="F65" s="2" t="s">
        <v>12</v>
      </c>
      <c r="G65" s="2" t="str">
        <f aca="false">IF(F65="","",IF(F65="OK","26",IF(OR(D65="OK",E65="OK"),"23","Inconclusive")))</f>
        <v>26</v>
      </c>
      <c r="H65" s="2" t="str">
        <f aca="false">IF(OR(C65="",G65="",G65="Inconclusive"),"",IF(VALUE(G65)=IF(C65="03",3,VALUE(C65)),"Yes",IF(VALUE(G65)&gt;VALUE(C65),"Matrix higher","Matrix lower")))</f>
        <v>Yes</v>
      </c>
      <c r="I65" s="2"/>
    </row>
    <row r="66" customFormat="false" ht="15" hidden="false" customHeight="false" outlineLevel="0" collapsed="false">
      <c r="A66" s="2" t="s">
        <v>98</v>
      </c>
      <c r="B66" s="2" t="s">
        <v>14</v>
      </c>
      <c r="C66" s="2" t="s">
        <v>15</v>
      </c>
      <c r="D66" s="2" t="s">
        <v>12</v>
      </c>
      <c r="E66" s="2" t="s">
        <v>12</v>
      </c>
      <c r="F66" s="2" t="s">
        <v>12</v>
      </c>
      <c r="G66" s="2" t="str">
        <f aca="false">IF(F66="","",IF(F66="OK","26",IF(OR(D66="OK",E66="OK"),"23","Inconclusive")))</f>
        <v>26</v>
      </c>
      <c r="H66" s="2" t="str">
        <f aca="false">IF(OR(C66="",G66="",G66="Inconclusive"),"",IF(VALUE(G66)=IF(C66="03",3,VALUE(C66)),"Yes",IF(VALUE(G66)&gt;VALUE(C66),"Matrix higher","Matrix lower")))</f>
        <v>Matrix higher</v>
      </c>
      <c r="I66" s="2"/>
    </row>
    <row r="67" customFormat="false" ht="15" hidden="false" customHeight="false" outlineLevel="0" collapsed="false">
      <c r="A67" s="2" t="s">
        <v>99</v>
      </c>
      <c r="B67" s="2" t="s">
        <v>14</v>
      </c>
      <c r="C67" s="2" t="s">
        <v>19</v>
      </c>
      <c r="D67" s="2" t="s">
        <v>12</v>
      </c>
      <c r="E67" s="2" t="s">
        <v>12</v>
      </c>
      <c r="F67" s="2" t="s">
        <v>12</v>
      </c>
      <c r="G67" s="2" t="str">
        <f aca="false">IF(F67="","",IF(F67="OK","26",IF(OR(D67="OK",E67="OK"),"23","Inconclusive")))</f>
        <v>26</v>
      </c>
      <c r="H67" s="2" t="str">
        <f aca="false">IF(OR(C67="",G67="",G67="Inconclusive"),"",IF(VALUE(G67)=IF(C67="03",3,VALUE(C67)),"Yes",IF(VALUE(G67)&gt;VALUE(C67),"Matrix higher","Matrix lower")))</f>
        <v>Matrix higher</v>
      </c>
      <c r="I67" s="2"/>
    </row>
    <row r="68" customFormat="false" ht="15" hidden="false" customHeight="false" outlineLevel="0" collapsed="false">
      <c r="A68" s="2" t="s">
        <v>100</v>
      </c>
      <c r="B68" s="2" t="s">
        <v>10</v>
      </c>
      <c r="C68" s="2" t="s">
        <v>11</v>
      </c>
      <c r="D68" s="2" t="s">
        <v>12</v>
      </c>
      <c r="E68" s="2" t="s">
        <v>12</v>
      </c>
      <c r="F68" s="2" t="s">
        <v>12</v>
      </c>
      <c r="G68" s="2" t="str">
        <f aca="false">IF(F68="","",IF(F68="OK","26",IF(OR(D68="OK",E68="OK"),"23","Inconclusive")))</f>
        <v>26</v>
      </c>
      <c r="H68" s="2" t="str">
        <f aca="false">IF(OR(C68="",G68="",G68="Inconclusive"),"",IF(VALUE(G68)=IF(C68="03",3,VALUE(C68)),"Yes",IF(VALUE(G68)&gt;VALUE(C68),"Matrix higher","Matrix lower")))</f>
        <v>Yes</v>
      </c>
      <c r="I68" s="2"/>
    </row>
    <row r="69" customFormat="false" ht="15" hidden="false" customHeight="false" outlineLevel="0" collapsed="false">
      <c r="A69" s="2" t="s">
        <v>101</v>
      </c>
      <c r="B69" s="2" t="s">
        <v>10</v>
      </c>
      <c r="C69" s="2" t="s">
        <v>19</v>
      </c>
      <c r="D69" s="2" t="s">
        <v>12</v>
      </c>
      <c r="E69" s="2" t="s">
        <v>12</v>
      </c>
      <c r="F69" s="2" t="s">
        <v>12</v>
      </c>
      <c r="G69" s="2" t="str">
        <f aca="false">IF(F69="","",IF(F69="OK","26",IF(OR(D69="OK",E69="OK"),"23","Inconclusive")))</f>
        <v>26</v>
      </c>
      <c r="H69" s="2" t="str">
        <f aca="false">IF(OR(C69="",G69="",G69="Inconclusive"),"",IF(VALUE(G69)=IF(C69="03",3,VALUE(C69)),"Yes",IF(VALUE(G69)&gt;VALUE(C69),"Matrix higher","Matrix lower")))</f>
        <v>Matrix higher</v>
      </c>
      <c r="I69" s="2" t="s">
        <v>102</v>
      </c>
    </row>
    <row r="70" customFormat="false" ht="15" hidden="false" customHeight="false" outlineLevel="0" collapsed="false">
      <c r="A70" s="2" t="s">
        <v>103</v>
      </c>
      <c r="B70" s="2" t="s">
        <v>10</v>
      </c>
      <c r="C70" s="2" t="s">
        <v>11</v>
      </c>
      <c r="D70" s="2" t="s">
        <v>12</v>
      </c>
      <c r="E70" s="2" t="s">
        <v>12</v>
      </c>
      <c r="F70" s="2" t="s">
        <v>12</v>
      </c>
      <c r="G70" s="2" t="str">
        <f aca="false">IF(F70="","",IF(F70="OK","26",IF(OR(D70="OK",E70="OK"),"23","Inconclusive")))</f>
        <v>26</v>
      </c>
      <c r="H70" s="2" t="str">
        <f aca="false">IF(OR(C70="",G70="",G70="Inconclusive"),"",IF(VALUE(G70)=IF(C70="03",3,VALUE(C70)),"Yes",IF(VALUE(G70)&gt;VALUE(C70),"Matrix higher","Matrix lower")))</f>
        <v>Yes</v>
      </c>
      <c r="I70" s="2"/>
    </row>
    <row r="71" customFormat="false" ht="15" hidden="false" customHeight="false" outlineLevel="0" collapsed="false">
      <c r="A71" s="2" t="s">
        <v>104</v>
      </c>
      <c r="B71" s="2" t="s">
        <v>14</v>
      </c>
      <c r="C71" s="2" t="s">
        <v>11</v>
      </c>
      <c r="D71" s="2" t="s">
        <v>12</v>
      </c>
      <c r="E71" s="2" t="s">
        <v>12</v>
      </c>
      <c r="F71" s="2" t="s">
        <v>12</v>
      </c>
      <c r="G71" s="2" t="str">
        <f aca="false">IF(F71="","",IF(F71="OK","26",IF(OR(D71="OK",E71="OK"),"23","Inconclusive")))</f>
        <v>26</v>
      </c>
      <c r="H71" s="2" t="str">
        <f aca="false">IF(OR(C71="",G71="",G71="Inconclusive"),"",IF(VALUE(G71)=IF(C71="03",3,VALUE(C71)),"Yes",IF(VALUE(G71)&gt;VALUE(C71),"Matrix higher","Matrix lower")))</f>
        <v>Yes</v>
      </c>
      <c r="I71" s="2"/>
    </row>
    <row r="72" customFormat="false" ht="15" hidden="false" customHeight="false" outlineLevel="0" collapsed="false">
      <c r="A72" s="2" t="s">
        <v>105</v>
      </c>
      <c r="B72" s="2" t="s">
        <v>10</v>
      </c>
      <c r="C72" s="2" t="s">
        <v>11</v>
      </c>
      <c r="D72" s="2" t="s">
        <v>29</v>
      </c>
      <c r="E72" s="2" t="s">
        <v>29</v>
      </c>
      <c r="F72" s="2" t="s">
        <v>29</v>
      </c>
      <c r="G72" s="2" t="str">
        <f aca="false">IF(F72="","",IF(F72="OK","26",IF(OR(D72="OK",E72="OK"),"23","Inconclusive")))</f>
        <v>Inconclusive</v>
      </c>
      <c r="H72" s="2" t="str">
        <f aca="false">IF(OR(C72="",G72="",G72="Inconclusive"),"",IF(VALUE(G72)=IF(C72="03",3,VALUE(C72)),"Yes",IF(VALUE(G72)&gt;VALUE(C72),"Matrix higher","Matrix lower")))</f>
        <v/>
      </c>
      <c r="I72" s="2" t="s">
        <v>65</v>
      </c>
    </row>
    <row r="73" customFormat="false" ht="15" hidden="false" customHeight="false" outlineLevel="0" collapsed="false">
      <c r="A73" s="2" t="s">
        <v>106</v>
      </c>
      <c r="B73" s="2" t="s">
        <v>14</v>
      </c>
      <c r="C73" s="2" t="s">
        <v>19</v>
      </c>
      <c r="D73" s="2" t="s">
        <v>12</v>
      </c>
      <c r="E73" s="2" t="s">
        <v>12</v>
      </c>
      <c r="F73" s="2" t="s">
        <v>12</v>
      </c>
      <c r="G73" s="2" t="str">
        <f aca="false">IF(F73="","",IF(F73="OK","26",IF(OR(D73="OK",E73="OK"),"23","Inconclusive")))</f>
        <v>26</v>
      </c>
      <c r="H73" s="2" t="str">
        <f aca="false">IF(OR(C73="",G73="",G73="Inconclusive"),"",IF(VALUE(G73)=IF(C73="03",3,VALUE(C73)),"Yes",IF(VALUE(G73)&gt;VALUE(C73),"Matrix higher","Matrix lower")))</f>
        <v>Matrix higher</v>
      </c>
      <c r="I73" s="2"/>
    </row>
    <row r="74" customFormat="false" ht="15" hidden="false" customHeight="false" outlineLevel="0" collapsed="false">
      <c r="A74" s="2" t="s">
        <v>107</v>
      </c>
      <c r="B74" s="2" t="s">
        <v>10</v>
      </c>
      <c r="C74" s="2" t="s">
        <v>19</v>
      </c>
      <c r="D74" s="2" t="s">
        <v>12</v>
      </c>
      <c r="E74" s="2" t="s">
        <v>12</v>
      </c>
      <c r="F74" s="2" t="s">
        <v>12</v>
      </c>
      <c r="G74" s="2" t="str">
        <f aca="false">IF(F74="","",IF(F74="OK","26",IF(OR(D74="OK",E74="OK"),"23","Inconclusive")))</f>
        <v>26</v>
      </c>
      <c r="H74" s="2" t="str">
        <f aca="false">IF(OR(C74="",G74="",G74="Inconclusive"),"",IF(VALUE(G74)=IF(C74="03",3,VALUE(C74)),"Yes",IF(VALUE(G74)&gt;VALUE(C74),"Matrix higher","Matrix lower")))</f>
        <v>Matrix higher</v>
      </c>
      <c r="I74" s="2"/>
    </row>
    <row r="75" customFormat="false" ht="15" hidden="false" customHeight="false" outlineLevel="0" collapsed="false">
      <c r="A75" s="2" t="s">
        <v>108</v>
      </c>
      <c r="B75" s="2" t="s">
        <v>14</v>
      </c>
      <c r="C75" s="2" t="s">
        <v>11</v>
      </c>
      <c r="D75" s="2" t="s">
        <v>12</v>
      </c>
      <c r="E75" s="2" t="s">
        <v>12</v>
      </c>
      <c r="F75" s="2" t="s">
        <v>12</v>
      </c>
      <c r="G75" s="2" t="str">
        <f aca="false">IF(F75="","",IF(F75="OK","26",IF(OR(D75="OK",E75="OK"),"23","Inconclusive")))</f>
        <v>26</v>
      </c>
      <c r="H75" s="2" t="str">
        <f aca="false">IF(OR(C75="",G75="",G75="Inconclusive"),"",IF(VALUE(G75)=IF(C75="03",3,VALUE(C75)),"Yes",IF(VALUE(G75)&gt;VALUE(C75),"Matrix higher","Matrix lower")))</f>
        <v>Yes</v>
      </c>
      <c r="I75" s="2"/>
    </row>
    <row r="76" customFormat="false" ht="15" hidden="false" customHeight="false" outlineLevel="0" collapsed="false">
      <c r="A76" s="2" t="s">
        <v>109</v>
      </c>
      <c r="B76" s="2" t="s">
        <v>14</v>
      </c>
      <c r="C76" s="2" t="s">
        <v>11</v>
      </c>
      <c r="D76" s="2" t="s">
        <v>12</v>
      </c>
      <c r="E76" s="2" t="s">
        <v>12</v>
      </c>
      <c r="F76" s="2" t="s">
        <v>12</v>
      </c>
      <c r="G76" s="2" t="str">
        <f aca="false">IF(F76="","",IF(F76="OK","26",IF(OR(D76="OK",E76="OK"),"23","Inconclusive")))</f>
        <v>26</v>
      </c>
      <c r="H76" s="2" t="str">
        <f aca="false">IF(OR(C76="",G76="",G76="Inconclusive"),"",IF(VALUE(G76)=IF(C76="03",3,VALUE(C76)),"Yes",IF(VALUE(G76)&gt;VALUE(C76),"Matrix higher","Matrix lower")))</f>
        <v>Yes</v>
      </c>
      <c r="I76" s="2" t="s">
        <v>86</v>
      </c>
    </row>
    <row r="77" customFormat="false" ht="15" hidden="false" customHeight="false" outlineLevel="0" collapsed="false">
      <c r="A77" s="2" t="s">
        <v>110</v>
      </c>
      <c r="B77" s="2" t="s">
        <v>10</v>
      </c>
      <c r="C77" s="2" t="s">
        <v>11</v>
      </c>
      <c r="D77" s="2" t="s">
        <v>12</v>
      </c>
      <c r="E77" s="2" t="s">
        <v>12</v>
      </c>
      <c r="F77" s="2" t="s">
        <v>12</v>
      </c>
      <c r="G77" s="2" t="str">
        <f aca="false">IF(F77="","",IF(F77="OK","26",IF(OR(D77="OK",E77="OK"),"23","Inconclusive")))</f>
        <v>26</v>
      </c>
      <c r="H77" s="2" t="str">
        <f aca="false">IF(OR(C77="",G77="",G77="Inconclusive"),"",IF(VALUE(G77)=IF(C77="03",3,VALUE(C77)),"Yes",IF(VALUE(G77)&gt;VALUE(C77),"Matrix higher","Matrix lower")))</f>
        <v>Yes</v>
      </c>
      <c r="I77" s="2"/>
    </row>
    <row r="78" customFormat="false" ht="15" hidden="false" customHeight="false" outlineLevel="0" collapsed="false">
      <c r="A78" s="2" t="s">
        <v>111</v>
      </c>
      <c r="B78" s="2" t="s">
        <v>10</v>
      </c>
      <c r="C78" s="2" t="s">
        <v>11</v>
      </c>
      <c r="D78" s="2" t="s">
        <v>12</v>
      </c>
      <c r="E78" s="2" t="s">
        <v>12</v>
      </c>
      <c r="F78" s="2" t="s">
        <v>12</v>
      </c>
      <c r="G78" s="2" t="str">
        <f aca="false">IF(F78="","",IF(F78="OK","26",IF(OR(D78="OK",E78="OK"),"23","Inconclusive")))</f>
        <v>26</v>
      </c>
      <c r="H78" s="2" t="str">
        <f aca="false">IF(OR(C78="",G78="",G78="Inconclusive"),"",IF(VALUE(G78)=IF(C78="03",3,VALUE(C78)),"Yes",IF(VALUE(G78)&gt;VALUE(C78),"Matrix higher","Matrix lower")))</f>
        <v>Yes</v>
      </c>
      <c r="I78" s="2"/>
    </row>
    <row r="79" customFormat="false" ht="15" hidden="false" customHeight="false" outlineLevel="0" collapsed="false">
      <c r="A79" s="2" t="s">
        <v>112</v>
      </c>
      <c r="B79" s="2" t="s">
        <v>76</v>
      </c>
      <c r="C79" s="2" t="s">
        <v>19</v>
      </c>
      <c r="D79" s="2" t="s">
        <v>29</v>
      </c>
      <c r="E79" s="2" t="s">
        <v>34</v>
      </c>
      <c r="F79" s="2" t="s">
        <v>34</v>
      </c>
      <c r="G79" s="2" t="str">
        <f aca="false">IF(F79="","",IF(F79="OK","26",IF(OR(D79="OK",E79="OK"),"23","Inconclusive")))</f>
        <v>Inconclusive</v>
      </c>
      <c r="H79" s="2" t="str">
        <f aca="false">IF(OR(C79="",G79="",G79="Inconclusive"),"",IF(VALUE(G79)=IF(C79="03",3,VALUE(C79)),"Yes",IF(VALUE(G79)&gt;VALUE(C79),"Matrix higher","Matrix lower")))</f>
        <v/>
      </c>
      <c r="I79" s="2" t="s">
        <v>58</v>
      </c>
    </row>
    <row r="80" customFormat="false" ht="15" hidden="false" customHeight="false" outlineLevel="0" collapsed="false">
      <c r="A80" s="2" t="s">
        <v>113</v>
      </c>
      <c r="B80" s="2" t="s">
        <v>14</v>
      </c>
      <c r="C80" s="2" t="s">
        <v>10</v>
      </c>
      <c r="D80" s="2" t="s">
        <v>12</v>
      </c>
      <c r="E80" s="2" t="s">
        <v>12</v>
      </c>
      <c r="F80" s="2" t="s">
        <v>12</v>
      </c>
      <c r="G80" s="2" t="str">
        <f aca="false">IF(F80="","",IF(F80="OK","26",IF(OR(D80="OK",E80="OK"),"23","Inconclusive")))</f>
        <v>26</v>
      </c>
      <c r="H80" s="2" t="str">
        <f aca="false">IF(OR(C80="",G80="",G80="Inconclusive"),"",IF(VALUE(G80)=IF(C80="03",3,VALUE(C80)),"Yes",IF(VALUE(G80)&gt;VALUE(C80),"Matrix higher","Matrix lower")))</f>
        <v>Matrix higher</v>
      </c>
      <c r="I80" s="2"/>
    </row>
    <row r="81" customFormat="false" ht="15" hidden="false" customHeight="false" outlineLevel="0" collapsed="false">
      <c r="A81" s="2" t="s">
        <v>114</v>
      </c>
      <c r="B81" s="2" t="s">
        <v>14</v>
      </c>
      <c r="C81" s="2" t="s">
        <v>11</v>
      </c>
      <c r="D81" s="2" t="s">
        <v>12</v>
      </c>
      <c r="E81" s="2" t="s">
        <v>12</v>
      </c>
      <c r="F81" s="2" t="s">
        <v>12</v>
      </c>
      <c r="G81" s="2" t="str">
        <f aca="false">IF(F81="","",IF(F81="OK","26",IF(OR(D81="OK",E81="OK"),"23","Inconclusive")))</f>
        <v>26</v>
      </c>
      <c r="H81" s="2" t="str">
        <f aca="false">IF(OR(C81="",G81="",G81="Inconclusive"),"",IF(VALUE(G81)=IF(C81="03",3,VALUE(C81)),"Yes",IF(VALUE(G81)&gt;VALUE(C81),"Matrix higher","Matrix lower")))</f>
        <v>Yes</v>
      </c>
      <c r="I81" s="2"/>
    </row>
    <row r="82" customFormat="false" ht="15" hidden="false" customHeight="false" outlineLevel="0" collapsed="false">
      <c r="A82" s="2" t="s">
        <v>115</v>
      </c>
      <c r="B82" s="2" t="s">
        <v>14</v>
      </c>
      <c r="C82" s="2" t="s">
        <v>11</v>
      </c>
      <c r="D82" s="2" t="s">
        <v>12</v>
      </c>
      <c r="E82" s="2" t="s">
        <v>12</v>
      </c>
      <c r="F82" s="2" t="s">
        <v>12</v>
      </c>
      <c r="G82" s="2" t="str">
        <f aca="false">IF(F82="","",IF(F82="OK","26",IF(OR(D82="OK",E82="OK"),"23","Inconclusive")))</f>
        <v>26</v>
      </c>
      <c r="H82" s="2" t="str">
        <f aca="false">IF(OR(C82="",G82="",G82="Inconclusive"),"",IF(VALUE(G82)=IF(C82="03",3,VALUE(C82)),"Yes",IF(VALUE(G82)&gt;VALUE(C82),"Matrix higher","Matrix lower")))</f>
        <v>Yes</v>
      </c>
      <c r="I82" s="2"/>
    </row>
    <row r="83" customFormat="false" ht="15" hidden="false" customHeight="false" outlineLevel="0" collapsed="false">
      <c r="A83" s="2" t="s">
        <v>116</v>
      </c>
      <c r="B83" s="2"/>
      <c r="C83" s="2"/>
      <c r="D83" s="2" t="s">
        <v>12</v>
      </c>
      <c r="E83" s="2" t="s">
        <v>12</v>
      </c>
      <c r="F83" s="2" t="s">
        <v>12</v>
      </c>
      <c r="G83" s="2" t="str">
        <f aca="false">IF(F83="","",IF(F83="OK","26",IF(OR(D83="OK",E83="OK"),"23","Inconclusive")))</f>
        <v>26</v>
      </c>
      <c r="H83" s="2" t="str">
        <f aca="false">IF(OR(C83="",G83="",G83="Inconclusive"),"",IF(VALUE(G83)=IF(C83="03",3,VALUE(C83)),"Yes",IF(VALUE(G83)&gt;VALUE(C83),"Matrix higher","Matrix lower")))</f>
        <v/>
      </c>
      <c r="I83" s="2"/>
    </row>
    <row r="84" customFormat="false" ht="15" hidden="false" customHeight="false" outlineLevel="0" collapsed="false">
      <c r="A84" s="2" t="s">
        <v>117</v>
      </c>
      <c r="B84" s="2" t="s">
        <v>10</v>
      </c>
      <c r="C84" s="2" t="s">
        <v>11</v>
      </c>
      <c r="D84" s="2" t="s">
        <v>12</v>
      </c>
      <c r="E84" s="2" t="s">
        <v>12</v>
      </c>
      <c r="F84" s="2" t="s">
        <v>12</v>
      </c>
      <c r="G84" s="2" t="str">
        <f aca="false">IF(F84="","",IF(F84="OK","26",IF(OR(D84="OK",E84="OK"),"23","Inconclusive")))</f>
        <v>26</v>
      </c>
      <c r="H84" s="2" t="str">
        <f aca="false">IF(OR(C84="",G84="",G84="Inconclusive"),"",IF(VALUE(G84)=IF(C84="03",3,VALUE(C84)),"Yes",IF(VALUE(G84)&gt;VALUE(C84),"Matrix higher","Matrix lower")))</f>
        <v>Yes</v>
      </c>
      <c r="I84" s="2"/>
    </row>
    <row r="85" customFormat="false" ht="15" hidden="false" customHeight="false" outlineLevel="0" collapsed="false">
      <c r="A85" s="2" t="s">
        <v>118</v>
      </c>
      <c r="B85" s="2" t="s">
        <v>47</v>
      </c>
      <c r="C85" s="2" t="s">
        <v>15</v>
      </c>
      <c r="D85" s="2" t="s">
        <v>119</v>
      </c>
      <c r="E85" s="2" t="s">
        <v>119</v>
      </c>
      <c r="F85" s="2" t="s">
        <v>119</v>
      </c>
      <c r="G85" s="2" t="str">
        <f aca="false">IF(F85="","",IF(F85="OK","26",IF(OR(D85="OK",E85="OK"),"23","Inconclusive")))</f>
        <v>Inconclusive</v>
      </c>
      <c r="H85" s="2" t="str">
        <f aca="false">IF(OR(C85="",G85="",G85="Inconclusive"),"",IF(VALUE(G85)=IF(C85="03",3,VALUE(C85)),"Yes",IF(VALUE(G85)&gt;VALUE(C85),"Matrix higher","Matrix lower")))</f>
        <v/>
      </c>
      <c r="I85" s="2" t="s">
        <v>120</v>
      </c>
    </row>
    <row r="86" customFormat="false" ht="15" hidden="false" customHeight="false" outlineLevel="0" collapsed="false">
      <c r="A86" s="2" t="s">
        <v>121</v>
      </c>
      <c r="B86" s="2" t="s">
        <v>10</v>
      </c>
      <c r="C86" s="2" t="s">
        <v>11</v>
      </c>
      <c r="D86" s="2" t="s">
        <v>29</v>
      </c>
      <c r="E86" s="2" t="s">
        <v>29</v>
      </c>
      <c r="F86" s="2" t="s">
        <v>29</v>
      </c>
      <c r="G86" s="2" t="str">
        <f aca="false">IF(F86="","",IF(F86="OK","26",IF(OR(D86="OK",E86="OK"),"23","Inconclusive")))</f>
        <v>Inconclusive</v>
      </c>
      <c r="H86" s="2" t="str">
        <f aca="false">IF(OR(C86="",G86="",G86="Inconclusive"),"",IF(VALUE(G86)=IF(C86="03",3,VALUE(C86)),"Yes",IF(VALUE(G86)&gt;VALUE(C86),"Matrix higher","Matrix lower")))</f>
        <v/>
      </c>
      <c r="I86" s="2" t="s">
        <v>65</v>
      </c>
    </row>
    <row r="87" customFormat="false" ht="15" hidden="false" customHeight="false" outlineLevel="0" collapsed="false">
      <c r="A87" s="2" t="s">
        <v>122</v>
      </c>
      <c r="B87" s="2"/>
      <c r="C87" s="2"/>
      <c r="D87" s="2" t="s">
        <v>12</v>
      </c>
      <c r="E87" s="2" t="s">
        <v>12</v>
      </c>
      <c r="F87" s="2" t="s">
        <v>12</v>
      </c>
      <c r="G87" s="2" t="str">
        <f aca="false">IF(F87="","",IF(F87="OK","26",IF(OR(D87="OK",E87="OK"),"23","Inconclusive")))</f>
        <v>26</v>
      </c>
      <c r="H87" s="2" t="str">
        <f aca="false">IF(OR(C87="",G87="",G87="Inconclusive"),"",IF(VALUE(G87)=IF(C87="03",3,VALUE(C87)),"Yes",IF(VALUE(G87)&gt;VALUE(C87),"Matrix higher","Matrix lower")))</f>
        <v/>
      </c>
      <c r="I87" s="2"/>
    </row>
    <row r="88" customFormat="false" ht="15" hidden="false" customHeight="false" outlineLevel="0" collapsed="false">
      <c r="A88" s="2" t="s">
        <v>123</v>
      </c>
      <c r="B88" s="2" t="s">
        <v>10</v>
      </c>
      <c r="C88" s="2" t="s">
        <v>11</v>
      </c>
      <c r="D88" s="2" t="s">
        <v>12</v>
      </c>
      <c r="E88" s="2" t="s">
        <v>12</v>
      </c>
      <c r="F88" s="2" t="s">
        <v>12</v>
      </c>
      <c r="G88" s="2" t="str">
        <f aca="false">IF(F88="","",IF(F88="OK","26",IF(OR(D88="OK",E88="OK"),"23","Inconclusive")))</f>
        <v>26</v>
      </c>
      <c r="H88" s="2" t="str">
        <f aca="false">IF(OR(C88="",G88="",G88="Inconclusive"),"",IF(VALUE(G88)=IF(C88="03",3,VALUE(C88)),"Yes",IF(VALUE(G88)&gt;VALUE(C88),"Matrix higher","Matrix lower")))</f>
        <v>Yes</v>
      </c>
      <c r="I88" s="2"/>
    </row>
    <row r="89" customFormat="false" ht="15" hidden="false" customHeight="false" outlineLevel="0" collapsed="false">
      <c r="A89" s="2" t="s">
        <v>124</v>
      </c>
      <c r="B89" s="2" t="s">
        <v>10</v>
      </c>
      <c r="C89" s="2" t="s">
        <v>19</v>
      </c>
      <c r="D89" s="2" t="s">
        <v>12</v>
      </c>
      <c r="E89" s="2" t="s">
        <v>12</v>
      </c>
      <c r="F89" s="2" t="s">
        <v>12</v>
      </c>
      <c r="G89" s="2" t="str">
        <f aca="false">IF(F89="","",IF(F89="OK","26",IF(OR(D89="OK",E89="OK"),"23","Inconclusive")))</f>
        <v>26</v>
      </c>
      <c r="H89" s="2" t="str">
        <f aca="false">IF(OR(C89="",G89="",G89="Inconclusive"),"",IF(VALUE(G89)=IF(C89="03",3,VALUE(C89)),"Yes",IF(VALUE(G89)&gt;VALUE(C89),"Matrix higher","Matrix lower")))</f>
        <v>Matrix higher</v>
      </c>
      <c r="I89" s="2" t="s">
        <v>125</v>
      </c>
    </row>
    <row r="90" customFormat="false" ht="15" hidden="false" customHeight="false" outlineLevel="0" collapsed="false">
      <c r="A90" s="2" t="s">
        <v>126</v>
      </c>
      <c r="B90" s="2" t="s">
        <v>10</v>
      </c>
      <c r="C90" s="2" t="s">
        <v>19</v>
      </c>
      <c r="D90" s="2" t="s">
        <v>12</v>
      </c>
      <c r="E90" s="2" t="s">
        <v>12</v>
      </c>
      <c r="F90" s="2" t="s">
        <v>12</v>
      </c>
      <c r="G90" s="2" t="str">
        <f aca="false">IF(F90="","",IF(F90="OK","26",IF(OR(D90="OK",E90="OK"),"23","Inconclusive")))</f>
        <v>26</v>
      </c>
      <c r="H90" s="2" t="str">
        <f aca="false">IF(OR(C90="",G90="",G90="Inconclusive"),"",IF(VALUE(G90)=IF(C90="03",3,VALUE(C90)),"Yes",IF(VALUE(G90)&gt;VALUE(C90),"Matrix higher","Matrix lower")))</f>
        <v>Matrix higher</v>
      </c>
      <c r="I90" s="2"/>
    </row>
    <row r="91" customFormat="false" ht="15" hidden="false" customHeight="false" outlineLevel="0" collapsed="false">
      <c r="A91" s="2" t="s">
        <v>127</v>
      </c>
      <c r="B91" s="2" t="s">
        <v>10</v>
      </c>
      <c r="C91" s="2" t="s">
        <v>11</v>
      </c>
      <c r="D91" s="2" t="s">
        <v>12</v>
      </c>
      <c r="E91" s="2" t="s">
        <v>12</v>
      </c>
      <c r="F91" s="2" t="s">
        <v>12</v>
      </c>
      <c r="G91" s="2" t="str">
        <f aca="false">IF(F91="","",IF(F91="OK","26",IF(OR(D91="OK",E91="OK"),"23","Inconclusive")))</f>
        <v>26</v>
      </c>
      <c r="H91" s="2" t="str">
        <f aca="false">IF(OR(C91="",G91="",G91="Inconclusive"),"",IF(VALUE(G91)=IF(C91="03",3,VALUE(C91)),"Yes",IF(VALUE(G91)&gt;VALUE(C91),"Matrix higher","Matrix lower")))</f>
        <v>Yes</v>
      </c>
      <c r="I91" s="2"/>
    </row>
    <row r="92" customFormat="false" ht="15" hidden="false" customHeight="false" outlineLevel="0" collapsed="false">
      <c r="A92" s="2" t="s">
        <v>128</v>
      </c>
      <c r="B92" s="2" t="s">
        <v>14</v>
      </c>
      <c r="C92" s="2" t="s">
        <v>19</v>
      </c>
      <c r="D92" s="2" t="s">
        <v>12</v>
      </c>
      <c r="E92" s="2" t="s">
        <v>12</v>
      </c>
      <c r="F92" s="2" t="s">
        <v>12</v>
      </c>
      <c r="G92" s="2" t="str">
        <f aca="false">IF(F92="","",IF(F92="OK","26",IF(OR(D92="OK",E92="OK"),"23","Inconclusive")))</f>
        <v>26</v>
      </c>
      <c r="H92" s="2" t="str">
        <f aca="false">IF(OR(C92="",G92="",G92="Inconclusive"),"",IF(VALUE(G92)=IF(C92="03",3,VALUE(C92)),"Yes",IF(VALUE(G92)&gt;VALUE(C92),"Matrix higher","Matrix lower")))</f>
        <v>Matrix higher</v>
      </c>
      <c r="I92" s="2"/>
    </row>
    <row r="93" customFormat="false" ht="15" hidden="false" customHeight="false" outlineLevel="0" collapsed="false">
      <c r="A93" s="2" t="s">
        <v>129</v>
      </c>
      <c r="B93" s="2" t="s">
        <v>10</v>
      </c>
      <c r="C93" s="2" t="s">
        <v>11</v>
      </c>
      <c r="D93" s="2" t="s">
        <v>12</v>
      </c>
      <c r="E93" s="2" t="s">
        <v>12</v>
      </c>
      <c r="F93" s="2" t="s">
        <v>12</v>
      </c>
      <c r="G93" s="2" t="str">
        <f aca="false">IF(F93="","",IF(F93="OK","26",IF(OR(D93="OK",E93="OK"),"23","Inconclusive")))</f>
        <v>26</v>
      </c>
      <c r="H93" s="2" t="str">
        <f aca="false">IF(OR(C93="",G93="",G93="Inconclusive"),"",IF(VALUE(G93)=IF(C93="03",3,VALUE(C93)),"Yes",IF(VALUE(G93)&gt;VALUE(C93),"Matrix higher","Matrix lower")))</f>
        <v>Yes</v>
      </c>
      <c r="I93" s="2"/>
    </row>
    <row r="94" customFormat="false" ht="15" hidden="false" customHeight="false" outlineLevel="0" collapsed="false">
      <c r="A94" s="2" t="s">
        <v>130</v>
      </c>
      <c r="B94" s="2" t="s">
        <v>14</v>
      </c>
      <c r="C94" s="2" t="s">
        <v>11</v>
      </c>
      <c r="D94" s="2" t="s">
        <v>12</v>
      </c>
      <c r="E94" s="2" t="s">
        <v>12</v>
      </c>
      <c r="F94" s="2" t="s">
        <v>12</v>
      </c>
      <c r="G94" s="2" t="str">
        <f aca="false">IF(F94="","",IF(F94="OK","26",IF(OR(D94="OK",E94="OK"),"23","Inconclusive")))</f>
        <v>26</v>
      </c>
      <c r="H94" s="2" t="str">
        <f aca="false">IF(OR(C94="",G94="",G94="Inconclusive"),"",IF(VALUE(G94)=IF(C94="03",3,VALUE(C94)),"Yes",IF(VALUE(G94)&gt;VALUE(C94),"Matrix higher","Matrix lower")))</f>
        <v>Yes</v>
      </c>
      <c r="I94" s="2"/>
    </row>
    <row r="95" customFormat="false" ht="15" hidden="false" customHeight="false" outlineLevel="0" collapsed="false">
      <c r="A95" s="2" t="s">
        <v>131</v>
      </c>
      <c r="B95" s="2" t="s">
        <v>10</v>
      </c>
      <c r="C95" s="2" t="s">
        <v>19</v>
      </c>
      <c r="D95" s="2" t="s">
        <v>12</v>
      </c>
      <c r="E95" s="2" t="s">
        <v>12</v>
      </c>
      <c r="F95" s="2" t="s">
        <v>12</v>
      </c>
      <c r="G95" s="2" t="str">
        <f aca="false">IF(F95="","",IF(F95="OK","26",IF(OR(D95="OK",E95="OK"),"23","Inconclusive")))</f>
        <v>26</v>
      </c>
      <c r="H95" s="2" t="str">
        <f aca="false">IF(OR(C95="",G95="",G95="Inconclusive"),"",IF(VALUE(G95)=IF(C95="03",3,VALUE(C95)),"Yes",IF(VALUE(G95)&gt;VALUE(C95),"Matrix higher","Matrix lower")))</f>
        <v>Matrix higher</v>
      </c>
      <c r="I95" s="2"/>
    </row>
    <row r="96" customFormat="false" ht="15" hidden="false" customHeight="false" outlineLevel="0" collapsed="false">
      <c r="A96" s="2" t="s">
        <v>132</v>
      </c>
      <c r="B96" s="2" t="s">
        <v>14</v>
      </c>
      <c r="C96" s="2" t="s">
        <v>11</v>
      </c>
      <c r="D96" s="2" t="s">
        <v>12</v>
      </c>
      <c r="E96" s="2" t="s">
        <v>12</v>
      </c>
      <c r="F96" s="2" t="s">
        <v>12</v>
      </c>
      <c r="G96" s="2" t="str">
        <f aca="false">IF(F96="","",IF(F96="OK","26",IF(OR(D96="OK",E96="OK"),"23","Inconclusive")))</f>
        <v>26</v>
      </c>
      <c r="H96" s="2" t="str">
        <f aca="false">IF(OR(C96="",G96="",G96="Inconclusive"),"",IF(VALUE(G96)=IF(C96="03",3,VALUE(C96)),"Yes",IF(VALUE(G96)&gt;VALUE(C96),"Matrix higher","Matrix lower")))</f>
        <v>Yes</v>
      </c>
      <c r="I96" s="2"/>
    </row>
    <row r="97" customFormat="false" ht="15" hidden="false" customHeight="false" outlineLevel="0" collapsed="false">
      <c r="A97" s="2" t="s">
        <v>133</v>
      </c>
      <c r="B97" s="2" t="s">
        <v>14</v>
      </c>
      <c r="C97" s="2" t="s">
        <v>19</v>
      </c>
      <c r="D97" s="2" t="s">
        <v>12</v>
      </c>
      <c r="E97" s="2" t="s">
        <v>12</v>
      </c>
      <c r="F97" s="2" t="s">
        <v>12</v>
      </c>
      <c r="G97" s="2" t="str">
        <f aca="false">IF(F97="","",IF(F97="OK","26",IF(OR(D97="OK",E97="OK"),"23","Inconclusive")))</f>
        <v>26</v>
      </c>
      <c r="H97" s="2" t="str">
        <f aca="false">IF(OR(C97="",G97="",G97="Inconclusive"),"",IF(VALUE(G97)=IF(C97="03",3,VALUE(C97)),"Yes",IF(VALUE(G97)&gt;VALUE(C97),"Matrix higher","Matrix lower")))</f>
        <v>Matrix higher</v>
      </c>
      <c r="I97" s="2"/>
    </row>
    <row r="98" customFormat="false" ht="15" hidden="false" customHeight="false" outlineLevel="0" collapsed="false">
      <c r="A98" s="2" t="s">
        <v>134</v>
      </c>
      <c r="B98" s="2" t="s">
        <v>76</v>
      </c>
      <c r="C98" s="2" t="s">
        <v>15</v>
      </c>
      <c r="D98" s="2" t="s">
        <v>12</v>
      </c>
      <c r="E98" s="2" t="s">
        <v>12</v>
      </c>
      <c r="F98" s="2" t="s">
        <v>12</v>
      </c>
      <c r="G98" s="2" t="str">
        <f aca="false">IF(F98="","",IF(F98="OK","26",IF(OR(D98="OK",E98="OK"),"23","Inconclusive")))</f>
        <v>26</v>
      </c>
      <c r="H98" s="2" t="str">
        <f aca="false">IF(OR(C98="",G98="",G98="Inconclusive"),"",IF(VALUE(G98)=IF(C98="03",3,VALUE(C98)),"Yes",IF(VALUE(G98)&gt;VALUE(C98),"Matrix higher","Matrix lower")))</f>
        <v>Matrix higher</v>
      </c>
      <c r="I98" s="2" t="s">
        <v>135</v>
      </c>
    </row>
    <row r="99" customFormat="false" ht="15" hidden="false" customHeight="false" outlineLevel="0" collapsed="false">
      <c r="A99" s="2" t="s">
        <v>136</v>
      </c>
      <c r="B99" s="2" t="s">
        <v>10</v>
      </c>
      <c r="C99" s="2" t="s">
        <v>11</v>
      </c>
      <c r="D99" s="2" t="s">
        <v>12</v>
      </c>
      <c r="E99" s="2" t="s">
        <v>12</v>
      </c>
      <c r="F99" s="2" t="s">
        <v>12</v>
      </c>
      <c r="G99" s="2" t="str">
        <f aca="false">IF(F99="","",IF(F99="OK","26",IF(OR(D99="OK",E99="OK"),"23","Inconclusive")))</f>
        <v>26</v>
      </c>
      <c r="H99" s="2" t="str">
        <f aca="false">IF(OR(C99="",G99="",G99="Inconclusive"),"",IF(VALUE(G99)=IF(C99="03",3,VALUE(C99)),"Yes",IF(VALUE(G99)&gt;VALUE(C99),"Matrix higher","Matrix lower")))</f>
        <v>Yes</v>
      </c>
      <c r="I99" s="2"/>
    </row>
    <row r="100" customFormat="false" ht="15" hidden="false" customHeight="false" outlineLevel="0" collapsed="false">
      <c r="A100" s="2" t="s">
        <v>137</v>
      </c>
      <c r="B100" s="2"/>
      <c r="C100" s="2"/>
      <c r="D100" s="2" t="s">
        <v>119</v>
      </c>
      <c r="E100" s="2" t="s">
        <v>119</v>
      </c>
      <c r="F100" s="2" t="s">
        <v>119</v>
      </c>
      <c r="G100" s="2" t="str">
        <f aca="false">IF(F100="","",IF(F100="OK","26",IF(OR(D100="OK",E100="OK"),"23","Inconclusive")))</f>
        <v>Inconclusive</v>
      </c>
      <c r="H100" s="2" t="str">
        <f aca="false">IF(OR(C100="",G100="",G100="Inconclusive"),"",IF(VALUE(G100)=IF(C100="03",3,VALUE(C100)),"Yes",IF(VALUE(G100)&gt;VALUE(C100),"Matrix higher","Matrix lower")))</f>
        <v/>
      </c>
      <c r="I100" s="2" t="s">
        <v>138</v>
      </c>
    </row>
    <row r="101" customFormat="false" ht="15" hidden="false" customHeight="false" outlineLevel="0" collapsed="false">
      <c r="A101" s="2" t="s">
        <v>139</v>
      </c>
      <c r="B101" s="2" t="s">
        <v>47</v>
      </c>
      <c r="C101" s="2" t="s">
        <v>19</v>
      </c>
      <c r="D101" s="2" t="s">
        <v>12</v>
      </c>
      <c r="E101" s="2" t="s">
        <v>12</v>
      </c>
      <c r="F101" s="2" t="s">
        <v>12</v>
      </c>
      <c r="G101" s="2" t="str">
        <f aca="false">IF(F101="","",IF(F101="OK","26",IF(OR(D101="OK",E101="OK"),"23","Inconclusive")))</f>
        <v>26</v>
      </c>
      <c r="H101" s="2" t="str">
        <f aca="false">IF(OR(C101="",G101="",G101="Inconclusive"),"",IF(VALUE(G101)=IF(C101="03",3,VALUE(C101)),"Yes",IF(VALUE(G101)&gt;VALUE(C101),"Matrix higher","Matrix lower")))</f>
        <v>Matrix higher</v>
      </c>
      <c r="I101" s="2" t="s">
        <v>140</v>
      </c>
    </row>
    <row r="102" customFormat="false" ht="15" hidden="false" customHeight="false" outlineLevel="0" collapsed="false">
      <c r="A102" s="2" t="s">
        <v>141</v>
      </c>
      <c r="B102" s="2" t="s">
        <v>14</v>
      </c>
      <c r="C102" s="2" t="s">
        <v>19</v>
      </c>
      <c r="D102" s="2" t="s">
        <v>12</v>
      </c>
      <c r="E102" s="2" t="s">
        <v>12</v>
      </c>
      <c r="F102" s="2" t="s">
        <v>12</v>
      </c>
      <c r="G102" s="2" t="str">
        <f aca="false">IF(F102="","",IF(F102="OK","26",IF(OR(D102="OK",E102="OK"),"23","Inconclusive")))</f>
        <v>26</v>
      </c>
      <c r="H102" s="2" t="str">
        <f aca="false">IF(OR(C102="",G102="",G102="Inconclusive"),"",IF(VALUE(G102)=IF(C102="03",3,VALUE(C102)),"Yes",IF(VALUE(G102)&gt;VALUE(C102),"Matrix higher","Matrix lower")))</f>
        <v>Matrix higher</v>
      </c>
      <c r="I102" s="2"/>
    </row>
    <row r="103" customFormat="false" ht="15" hidden="false" customHeight="false" outlineLevel="0" collapsed="false">
      <c r="A103" s="2" t="s">
        <v>142</v>
      </c>
      <c r="B103" s="2" t="s">
        <v>14</v>
      </c>
      <c r="C103" s="2" t="s">
        <v>11</v>
      </c>
      <c r="D103" s="2" t="s">
        <v>29</v>
      </c>
      <c r="E103" s="2" t="s">
        <v>12</v>
      </c>
      <c r="F103" s="2" t="s">
        <v>12</v>
      </c>
      <c r="G103" s="2" t="str">
        <f aca="false">IF(F103="","",IF(F103="OK","26",IF(OR(D103="OK",E103="OK"),"23","Inconclusive")))</f>
        <v>26</v>
      </c>
      <c r="H103" s="2" t="str">
        <f aca="false">IF(OR(C103="",G103="",G103="Inconclusive"),"",IF(VALUE(G103)=IF(C103="03",3,VALUE(C103)),"Yes",IF(VALUE(G103)&gt;VALUE(C103),"Matrix higher","Matrix lower")))</f>
        <v>Yes</v>
      </c>
      <c r="I103" s="2" t="s">
        <v>143</v>
      </c>
    </row>
    <row r="104" customFormat="false" ht="15" hidden="false" customHeight="false" outlineLevel="0" collapsed="false">
      <c r="A104" s="2" t="s">
        <v>144</v>
      </c>
      <c r="B104" s="2" t="s">
        <v>10</v>
      </c>
      <c r="C104" s="2" t="s">
        <v>11</v>
      </c>
      <c r="D104" s="2" t="s">
        <v>12</v>
      </c>
      <c r="E104" s="2" t="s">
        <v>12</v>
      </c>
      <c r="F104" s="2" t="s">
        <v>12</v>
      </c>
      <c r="G104" s="2" t="str">
        <f aca="false">IF(F104="","",IF(F104="OK","26",IF(OR(D104="OK",E104="OK"),"23","Inconclusive")))</f>
        <v>26</v>
      </c>
      <c r="H104" s="2" t="str">
        <f aca="false">IF(OR(C104="",G104="",G104="Inconclusive"),"",IF(VALUE(G104)=IF(C104="03",3,VALUE(C104)),"Yes",IF(VALUE(G104)&gt;VALUE(C104),"Matrix higher","Matrix lower")))</f>
        <v>Yes</v>
      </c>
      <c r="I104" s="2"/>
    </row>
    <row r="105" customFormat="false" ht="15" hidden="false" customHeight="false" outlineLevel="0" collapsed="false">
      <c r="A105" s="2" t="s">
        <v>145</v>
      </c>
      <c r="B105" s="2" t="s">
        <v>76</v>
      </c>
      <c r="C105" s="2" t="s">
        <v>47</v>
      </c>
      <c r="D105" s="2" t="s">
        <v>12</v>
      </c>
      <c r="E105" s="2" t="s">
        <v>12</v>
      </c>
      <c r="F105" s="2" t="s">
        <v>12</v>
      </c>
      <c r="G105" s="2" t="str">
        <f aca="false">IF(F105="","",IF(F105="OK","26",IF(OR(D105="OK",E105="OK"),"23","Inconclusive")))</f>
        <v>26</v>
      </c>
      <c r="H105" s="2" t="str">
        <f aca="false">IF(OR(C105="",G105="",G105="Inconclusive"),"",IF(VALUE(G105)=IF(C105="03",3,VALUE(C105)),"Yes",IF(VALUE(G105)&gt;VALUE(C105),"Matrix higher","Matrix lower")))</f>
        <v>Matrix higher</v>
      </c>
      <c r="I105" s="2"/>
    </row>
    <row r="106" customFormat="false" ht="15" hidden="false" customHeight="false" outlineLevel="0" collapsed="false">
      <c r="A106" s="2" t="s">
        <v>146</v>
      </c>
      <c r="B106" s="2" t="s">
        <v>14</v>
      </c>
      <c r="C106" s="2" t="s">
        <v>11</v>
      </c>
      <c r="D106" s="2" t="s">
        <v>12</v>
      </c>
      <c r="E106" s="2" t="s">
        <v>12</v>
      </c>
      <c r="F106" s="2" t="s">
        <v>12</v>
      </c>
      <c r="G106" s="2" t="str">
        <f aca="false">IF(F106="","",IF(F106="OK","26",IF(OR(D106="OK",E106="OK"),"23","Inconclusive")))</f>
        <v>26</v>
      </c>
      <c r="H106" s="2" t="str">
        <f aca="false">IF(OR(C106="",G106="",G106="Inconclusive"),"",IF(VALUE(G106)=IF(C106="03",3,VALUE(C106)),"Yes",IF(VALUE(G106)&gt;VALUE(C106),"Matrix higher","Matrix lower")))</f>
        <v>Yes</v>
      </c>
      <c r="I106" s="2"/>
    </row>
    <row r="107" customFormat="false" ht="15" hidden="false" customHeight="false" outlineLevel="0" collapsed="false">
      <c r="A107" s="2" t="s">
        <v>147</v>
      </c>
      <c r="B107" s="2" t="s">
        <v>14</v>
      </c>
      <c r="C107" s="2" t="s">
        <v>19</v>
      </c>
      <c r="D107" s="2" t="s">
        <v>12</v>
      </c>
      <c r="E107" s="2" t="s">
        <v>12</v>
      </c>
      <c r="F107" s="2" t="s">
        <v>12</v>
      </c>
      <c r="G107" s="2" t="str">
        <f aca="false">IF(F107="","",IF(F107="OK","26",IF(OR(D107="OK",E107="OK"),"23","Inconclusive")))</f>
        <v>26</v>
      </c>
      <c r="H107" s="2" t="str">
        <f aca="false">IF(OR(C107="",G107="",G107="Inconclusive"),"",IF(VALUE(G107)=IF(C107="03",3,VALUE(C107)),"Yes",IF(VALUE(G107)&gt;VALUE(C107),"Matrix higher","Matrix lower")))</f>
        <v>Matrix higher</v>
      </c>
      <c r="I107" s="2"/>
    </row>
    <row r="108" customFormat="false" ht="15" hidden="false" customHeight="false" outlineLevel="0" collapsed="false">
      <c r="A108" s="2" t="s">
        <v>148</v>
      </c>
      <c r="B108" s="2" t="s">
        <v>14</v>
      </c>
      <c r="C108" s="2" t="s">
        <v>11</v>
      </c>
      <c r="D108" s="2" t="s">
        <v>12</v>
      </c>
      <c r="E108" s="2" t="s">
        <v>12</v>
      </c>
      <c r="F108" s="2" t="s">
        <v>12</v>
      </c>
      <c r="G108" s="2" t="str">
        <f aca="false">IF(F108="","",IF(F108="OK","26",IF(OR(D108="OK",E108="OK"),"23","Inconclusive")))</f>
        <v>26</v>
      </c>
      <c r="H108" s="2" t="str">
        <f aca="false">IF(OR(C108="",G108="",G108="Inconclusive"),"",IF(VALUE(G108)=IF(C108="03",3,VALUE(C108)),"Yes",IF(VALUE(G108)&gt;VALUE(C108),"Matrix higher","Matrix lower")))</f>
        <v>Yes</v>
      </c>
      <c r="I108" s="2"/>
    </row>
    <row r="109" customFormat="false" ht="15" hidden="false" customHeight="false" outlineLevel="0" collapsed="false">
      <c r="A109" s="2" t="s">
        <v>149</v>
      </c>
      <c r="B109" s="2" t="s">
        <v>10</v>
      </c>
      <c r="C109" s="2" t="s">
        <v>19</v>
      </c>
      <c r="D109" s="2" t="s">
        <v>34</v>
      </c>
      <c r="E109" s="2" t="s">
        <v>34</v>
      </c>
      <c r="F109" s="2" t="s">
        <v>12</v>
      </c>
      <c r="G109" s="2" t="str">
        <f aca="false">IF(F109="","",IF(F109="OK","26",IF(OR(D109="OK",E109="OK"),"23","Inconclusive")))</f>
        <v>26</v>
      </c>
      <c r="H109" s="2" t="str">
        <f aca="false">IF(OR(C109="",G109="",G109="Inconclusive"),"",IF(VALUE(G109)=IF(C109="03",3,VALUE(C109)),"Yes",IF(VALUE(G109)&gt;VALUE(C109),"Matrix higher","Matrix lower")))</f>
        <v>Matrix higher</v>
      </c>
      <c r="I109" s="2" t="s">
        <v>150</v>
      </c>
    </row>
    <row r="110" customFormat="false" ht="15" hidden="false" customHeight="false" outlineLevel="0" collapsed="false">
      <c r="A110" s="2" t="s">
        <v>151</v>
      </c>
      <c r="B110" s="2" t="s">
        <v>10</v>
      </c>
      <c r="C110" s="2" t="s">
        <v>11</v>
      </c>
      <c r="D110" s="2" t="s">
        <v>12</v>
      </c>
      <c r="E110" s="2" t="s">
        <v>12</v>
      </c>
      <c r="F110" s="2" t="s">
        <v>12</v>
      </c>
      <c r="G110" s="2" t="str">
        <f aca="false">IF(F110="","",IF(F110="OK","26",IF(OR(D110="OK",E110="OK"),"23","Inconclusive")))</f>
        <v>26</v>
      </c>
      <c r="H110" s="2" t="str">
        <f aca="false">IF(OR(C110="",G110="",G110="Inconclusive"),"",IF(VALUE(G110)=IF(C110="03",3,VALUE(C110)),"Yes",IF(VALUE(G110)&gt;VALUE(C110),"Matrix higher","Matrix lower")))</f>
        <v>Yes</v>
      </c>
      <c r="I110" s="2"/>
    </row>
    <row r="111" customFormat="false" ht="15" hidden="false" customHeight="false" outlineLevel="0" collapsed="false">
      <c r="A111" s="2" t="s">
        <v>152</v>
      </c>
      <c r="B111" s="2" t="s">
        <v>10</v>
      </c>
      <c r="C111" s="2" t="s">
        <v>11</v>
      </c>
      <c r="D111" s="2" t="s">
        <v>12</v>
      </c>
      <c r="E111" s="2" t="s">
        <v>12</v>
      </c>
      <c r="F111" s="2" t="s">
        <v>12</v>
      </c>
      <c r="G111" s="2" t="str">
        <f aca="false">IF(F111="","",IF(F111="OK","26",IF(OR(D111="OK",E111="OK"),"23","Inconclusive")))</f>
        <v>26</v>
      </c>
      <c r="H111" s="2" t="str">
        <f aca="false">IF(OR(C111="",G111="",G111="Inconclusive"),"",IF(VALUE(G111)=IF(C111="03",3,VALUE(C111)),"Yes",IF(VALUE(G111)&gt;VALUE(C111),"Matrix higher","Matrix lower")))</f>
        <v>Yes</v>
      </c>
      <c r="I111" s="2"/>
    </row>
    <row r="112" customFormat="false" ht="15" hidden="false" customHeight="false" outlineLevel="0" collapsed="false">
      <c r="A112" s="2" t="s">
        <v>153</v>
      </c>
      <c r="B112" s="2"/>
      <c r="C112" s="2"/>
      <c r="D112" s="2" t="s">
        <v>12</v>
      </c>
      <c r="E112" s="2" t="s">
        <v>12</v>
      </c>
      <c r="F112" s="2" t="s">
        <v>12</v>
      </c>
      <c r="G112" s="2" t="str">
        <f aca="false">IF(F112="","",IF(F112="OK","26",IF(OR(D112="OK",E112="OK"),"23","Inconclusive")))</f>
        <v>26</v>
      </c>
      <c r="H112" s="2" t="str">
        <f aca="false">IF(OR(C112="",G112="",G112="Inconclusive"),"",IF(VALUE(G112)=IF(C112="03",3,VALUE(C112)),"Yes",IF(VALUE(G112)&gt;VALUE(C112),"Matrix higher","Matrix lower")))</f>
        <v/>
      </c>
      <c r="I112" s="2"/>
    </row>
    <row r="113" customFormat="false" ht="15" hidden="false" customHeight="false" outlineLevel="0" collapsed="false">
      <c r="A113" s="2" t="s">
        <v>154</v>
      </c>
      <c r="B113" s="2" t="s">
        <v>14</v>
      </c>
      <c r="C113" s="2" t="s">
        <v>19</v>
      </c>
      <c r="D113" s="2" t="s">
        <v>12</v>
      </c>
      <c r="E113" s="2" t="s">
        <v>12</v>
      </c>
      <c r="F113" s="2" t="s">
        <v>12</v>
      </c>
      <c r="G113" s="2" t="str">
        <f aca="false">IF(F113="","",IF(F113="OK","26",IF(OR(D113="OK",E113="OK"),"23","Inconclusive")))</f>
        <v>26</v>
      </c>
      <c r="H113" s="2" t="str">
        <f aca="false">IF(OR(C113="",G113="",G113="Inconclusive"),"",IF(VALUE(G113)=IF(C113="03",3,VALUE(C113)),"Yes",IF(VALUE(G113)&gt;VALUE(C113),"Matrix higher","Matrix lower")))</f>
        <v>Matrix higher</v>
      </c>
      <c r="I113" s="2"/>
    </row>
    <row r="114" customFormat="false" ht="15" hidden="false" customHeight="false" outlineLevel="0" collapsed="false">
      <c r="A114" s="2" t="s">
        <v>155</v>
      </c>
      <c r="B114" s="2" t="s">
        <v>10</v>
      </c>
      <c r="C114" s="2" t="s">
        <v>11</v>
      </c>
      <c r="D114" s="2" t="s">
        <v>12</v>
      </c>
      <c r="E114" s="2" t="s">
        <v>12</v>
      </c>
      <c r="F114" s="2" t="s">
        <v>12</v>
      </c>
      <c r="G114" s="2" t="str">
        <f aca="false">IF(F114="","",IF(F114="OK","26",IF(OR(D114="OK",E114="OK"),"23","Inconclusive")))</f>
        <v>26</v>
      </c>
      <c r="H114" s="2" t="str">
        <f aca="false">IF(OR(C114="",G114="",G114="Inconclusive"),"",IF(VALUE(G114)=IF(C114="03",3,VALUE(C114)),"Yes",IF(VALUE(G114)&gt;VALUE(C114),"Matrix higher","Matrix lower")))</f>
        <v>Yes</v>
      </c>
      <c r="I114" s="2"/>
    </row>
    <row r="115" customFormat="false" ht="15" hidden="false" customHeight="false" outlineLevel="0" collapsed="false">
      <c r="A115" s="2" t="s">
        <v>156</v>
      </c>
      <c r="B115" s="2" t="s">
        <v>10</v>
      </c>
      <c r="C115" s="2" t="s">
        <v>11</v>
      </c>
      <c r="D115" s="2" t="s">
        <v>12</v>
      </c>
      <c r="E115" s="2" t="s">
        <v>12</v>
      </c>
      <c r="F115" s="2" t="s">
        <v>12</v>
      </c>
      <c r="G115" s="2" t="str">
        <f aca="false">IF(F115="","",IF(F115="OK","26",IF(OR(D115="OK",E115="OK"),"23","Inconclusive")))</f>
        <v>26</v>
      </c>
      <c r="H115" s="2" t="str">
        <f aca="false">IF(OR(C115="",G115="",G115="Inconclusive"),"",IF(VALUE(G115)=IF(C115="03",3,VALUE(C115)),"Yes",IF(VALUE(G115)&gt;VALUE(C115),"Matrix higher","Matrix lower")))</f>
        <v>Yes</v>
      </c>
      <c r="I115" s="2"/>
    </row>
    <row r="116" customFormat="false" ht="15" hidden="false" customHeight="false" outlineLevel="0" collapsed="false">
      <c r="A116" s="2" t="s">
        <v>157</v>
      </c>
      <c r="B116" s="2" t="s">
        <v>10</v>
      </c>
      <c r="C116" s="2" t="s">
        <v>47</v>
      </c>
      <c r="D116" s="2" t="s">
        <v>34</v>
      </c>
      <c r="E116" s="2" t="s">
        <v>34</v>
      </c>
      <c r="F116" s="2" t="s">
        <v>34</v>
      </c>
      <c r="G116" s="2" t="str">
        <f aca="false">IF(F116="","",IF(F116="OK","26",IF(OR(D116="OK",E116="OK"),"23","Inconclusive")))</f>
        <v>Inconclusive</v>
      </c>
      <c r="H116" s="2" t="str">
        <f aca="false">IF(OR(C116="",G116="",G116="Inconclusive"),"",IF(VALUE(G116)=IF(C116="03",3,VALUE(C116)),"Yes",IF(VALUE(G116)&gt;VALUE(C116),"Matrix higher","Matrix lower")))</f>
        <v/>
      </c>
      <c r="I116" s="2" t="s">
        <v>158</v>
      </c>
    </row>
    <row r="117" customFormat="false" ht="15" hidden="false" customHeight="false" outlineLevel="0" collapsed="false">
      <c r="A117" s="2" t="s">
        <v>159</v>
      </c>
      <c r="B117" s="2" t="s">
        <v>14</v>
      </c>
      <c r="C117" s="2" t="s">
        <v>11</v>
      </c>
      <c r="D117" s="2" t="s">
        <v>12</v>
      </c>
      <c r="E117" s="2" t="s">
        <v>12</v>
      </c>
      <c r="F117" s="2" t="s">
        <v>12</v>
      </c>
      <c r="G117" s="2" t="str">
        <f aca="false">IF(F117="","",IF(F117="OK","26",IF(OR(D117="OK",E117="OK"),"23","Inconclusive")))</f>
        <v>26</v>
      </c>
      <c r="H117" s="2" t="str">
        <f aca="false">IF(OR(C117="",G117="",G117="Inconclusive"),"",IF(VALUE(G117)=IF(C117="03",3,VALUE(C117)),"Yes",IF(VALUE(G117)&gt;VALUE(C117),"Matrix higher","Matrix lower")))</f>
        <v>Yes</v>
      </c>
      <c r="I117" s="2"/>
    </row>
    <row r="118" customFormat="false" ht="15" hidden="false" customHeight="false" outlineLevel="0" collapsed="false">
      <c r="A118" s="2" t="s">
        <v>160</v>
      </c>
      <c r="B118" s="2" t="s">
        <v>10</v>
      </c>
      <c r="C118" s="2" t="s">
        <v>11</v>
      </c>
      <c r="D118" s="2" t="s">
        <v>12</v>
      </c>
      <c r="E118" s="2" t="s">
        <v>12</v>
      </c>
      <c r="F118" s="2" t="s">
        <v>12</v>
      </c>
      <c r="G118" s="2" t="str">
        <f aca="false">IF(F118="","",IF(F118="OK","26",IF(OR(D118="OK",E118="OK"),"23","Inconclusive")))</f>
        <v>26</v>
      </c>
      <c r="H118" s="2" t="str">
        <f aca="false">IF(OR(C118="",G118="",G118="Inconclusive"),"",IF(VALUE(G118)=IF(C118="03",3,VALUE(C118)),"Yes",IF(VALUE(G118)&gt;VALUE(C118),"Matrix higher","Matrix lower")))</f>
        <v>Yes</v>
      </c>
      <c r="I118" s="2"/>
    </row>
    <row r="119" customFormat="false" ht="15" hidden="false" customHeight="false" outlineLevel="0" collapsed="false">
      <c r="A119" s="2" t="s">
        <v>161</v>
      </c>
      <c r="B119" s="2" t="s">
        <v>10</v>
      </c>
      <c r="C119" s="2" t="s">
        <v>11</v>
      </c>
      <c r="D119" s="2" t="s">
        <v>12</v>
      </c>
      <c r="E119" s="2" t="s">
        <v>12</v>
      </c>
      <c r="F119" s="2" t="s">
        <v>12</v>
      </c>
      <c r="G119" s="2" t="str">
        <f aca="false">IF(F119="","",IF(F119="OK","26",IF(OR(D119="OK",E119="OK"),"23","Inconclusive")))</f>
        <v>26</v>
      </c>
      <c r="H119" s="2" t="str">
        <f aca="false">IF(OR(C119="",G119="",G119="Inconclusive"),"",IF(VALUE(G119)=IF(C119="03",3,VALUE(C119)),"Yes",IF(VALUE(G119)&gt;VALUE(C119),"Matrix higher","Matrix lower")))</f>
        <v>Yes</v>
      </c>
      <c r="I119" s="2"/>
    </row>
    <row r="120" customFormat="false" ht="15" hidden="false" customHeight="false" outlineLevel="0" collapsed="false">
      <c r="A120" s="2" t="s">
        <v>162</v>
      </c>
      <c r="B120" s="2" t="s">
        <v>10</v>
      </c>
      <c r="C120" s="2" t="s">
        <v>19</v>
      </c>
      <c r="D120" s="2" t="s">
        <v>12</v>
      </c>
      <c r="E120" s="2" t="s">
        <v>12</v>
      </c>
      <c r="F120" s="2" t="s">
        <v>12</v>
      </c>
      <c r="G120" s="2" t="str">
        <f aca="false">IF(F120="","",IF(F120="OK","26",IF(OR(D120="OK",E120="OK"),"23","Inconclusive")))</f>
        <v>26</v>
      </c>
      <c r="H120" s="2" t="str">
        <f aca="false">IF(OR(C120="",G120="",G120="Inconclusive"),"",IF(VALUE(G120)=IF(C120="03",3,VALUE(C120)),"Yes",IF(VALUE(G120)&gt;VALUE(C120),"Matrix higher","Matrix lower")))</f>
        <v>Matrix higher</v>
      </c>
      <c r="I120" s="2"/>
    </row>
    <row r="121" customFormat="false" ht="15" hidden="false" customHeight="false" outlineLevel="0" collapsed="false">
      <c r="A121" s="2" t="s">
        <v>163</v>
      </c>
      <c r="B121" s="2" t="s">
        <v>10</v>
      </c>
      <c r="C121" s="2" t="s">
        <v>11</v>
      </c>
      <c r="D121" s="2" t="s">
        <v>12</v>
      </c>
      <c r="E121" s="2" t="s">
        <v>12</v>
      </c>
      <c r="F121" s="2" t="s">
        <v>12</v>
      </c>
      <c r="G121" s="2" t="str">
        <f aca="false">IF(F121="","",IF(F121="OK","26",IF(OR(D121="OK",E121="OK"),"23","Inconclusive")))</f>
        <v>26</v>
      </c>
      <c r="H121" s="2" t="str">
        <f aca="false">IF(OR(C121="",G121="",G121="Inconclusive"),"",IF(VALUE(G121)=IF(C121="03",3,VALUE(C121)),"Yes",IF(VALUE(G121)&gt;VALUE(C121),"Matrix higher","Matrix lower")))</f>
        <v>Yes</v>
      </c>
      <c r="I121" s="2"/>
    </row>
    <row r="122" customFormat="false" ht="15" hidden="false" customHeight="false" outlineLevel="0" collapsed="false">
      <c r="A122" s="2" t="s">
        <v>164</v>
      </c>
      <c r="B122" s="2" t="s">
        <v>10</v>
      </c>
      <c r="C122" s="2" t="s">
        <v>11</v>
      </c>
      <c r="D122" s="2" t="s">
        <v>12</v>
      </c>
      <c r="E122" s="2" t="s">
        <v>12</v>
      </c>
      <c r="F122" s="2" t="s">
        <v>12</v>
      </c>
      <c r="G122" s="2" t="str">
        <f aca="false">IF(F122="","",IF(F122="OK","26",IF(OR(D122="OK",E122="OK"),"23","Inconclusive")))</f>
        <v>26</v>
      </c>
      <c r="H122" s="2" t="str">
        <f aca="false">IF(OR(C122="",G122="",G122="Inconclusive"),"",IF(VALUE(G122)=IF(C122="03",3,VALUE(C122)),"Yes",IF(VALUE(G122)&gt;VALUE(C122),"Matrix higher","Matrix lower")))</f>
        <v>Yes</v>
      </c>
      <c r="I122" s="2"/>
    </row>
    <row r="123" customFormat="false" ht="15" hidden="false" customHeight="false" outlineLevel="0" collapsed="false">
      <c r="A123" s="2" t="s">
        <v>165</v>
      </c>
      <c r="B123" s="2" t="s">
        <v>10</v>
      </c>
      <c r="C123" s="2" t="s">
        <v>15</v>
      </c>
      <c r="D123" s="2" t="s">
        <v>29</v>
      </c>
      <c r="E123" s="2" t="s">
        <v>29</v>
      </c>
      <c r="F123" s="2" t="s">
        <v>29</v>
      </c>
      <c r="G123" s="2" t="str">
        <f aca="false">IF(F123="","",IF(F123="OK","26",IF(OR(D123="OK",E123="OK"),"23","Inconclusive")))</f>
        <v>Inconclusive</v>
      </c>
      <c r="H123" s="2" t="str">
        <f aca="false">IF(OR(C123="",G123="",G123="Inconclusive"),"",IF(VALUE(G123)=IF(C123="03",3,VALUE(C123)),"Yes",IF(VALUE(G123)&gt;VALUE(C123),"Matrix higher","Matrix lower")))</f>
        <v/>
      </c>
      <c r="I123" s="2" t="s">
        <v>65</v>
      </c>
    </row>
    <row r="124" customFormat="false" ht="15" hidden="false" customHeight="false" outlineLevel="0" collapsed="false">
      <c r="A124" s="2" t="s">
        <v>166</v>
      </c>
      <c r="B124" s="2" t="s">
        <v>10</v>
      </c>
      <c r="C124" s="2" t="s">
        <v>15</v>
      </c>
      <c r="D124" s="2" t="s">
        <v>12</v>
      </c>
      <c r="E124" s="2" t="s">
        <v>12</v>
      </c>
      <c r="F124" s="2" t="s">
        <v>12</v>
      </c>
      <c r="G124" s="2" t="str">
        <f aca="false">IF(F124="","",IF(F124="OK","26",IF(OR(D124="OK",E124="OK"),"23","Inconclusive")))</f>
        <v>26</v>
      </c>
      <c r="H124" s="2" t="str">
        <f aca="false">IF(OR(C124="",G124="",G124="Inconclusive"),"",IF(VALUE(G124)=IF(C124="03",3,VALUE(C124)),"Yes",IF(VALUE(G124)&gt;VALUE(C124),"Matrix higher","Matrix lower")))</f>
        <v>Matrix higher</v>
      </c>
      <c r="I124" s="2"/>
    </row>
    <row r="125" customFormat="false" ht="15" hidden="false" customHeight="false" outlineLevel="0" collapsed="false">
      <c r="A125" s="2" t="s">
        <v>167</v>
      </c>
      <c r="B125" s="2" t="s">
        <v>10</v>
      </c>
      <c r="C125" s="2" t="s">
        <v>11</v>
      </c>
      <c r="D125" s="2" t="s">
        <v>12</v>
      </c>
      <c r="E125" s="2" t="s">
        <v>12</v>
      </c>
      <c r="F125" s="2" t="s">
        <v>12</v>
      </c>
      <c r="G125" s="2" t="str">
        <f aca="false">IF(F125="","",IF(F125="OK","26",IF(OR(D125="OK",E125="OK"),"23","Inconclusive")))</f>
        <v>26</v>
      </c>
      <c r="H125" s="2" t="str">
        <f aca="false">IF(OR(C125="",G125="",G125="Inconclusive"),"",IF(VALUE(G125)=IF(C125="03",3,VALUE(C125)),"Yes",IF(VALUE(G125)&gt;VALUE(C125),"Matrix higher","Matrix lower")))</f>
        <v>Yes</v>
      </c>
      <c r="I125" s="2"/>
    </row>
    <row r="126" customFormat="false" ht="15" hidden="false" customHeight="false" outlineLevel="0" collapsed="false">
      <c r="A126" s="2" t="s">
        <v>168</v>
      </c>
      <c r="B126" s="2"/>
      <c r="C126" s="2"/>
      <c r="D126" s="2" t="s">
        <v>12</v>
      </c>
      <c r="E126" s="2" t="s">
        <v>12</v>
      </c>
      <c r="F126" s="2" t="s">
        <v>12</v>
      </c>
      <c r="G126" s="2" t="str">
        <f aca="false">IF(F126="","",IF(F126="OK","26",IF(OR(D126="OK",E126="OK"),"23","Inconclusive")))</f>
        <v>26</v>
      </c>
      <c r="H126" s="2" t="str">
        <f aca="false">IF(OR(C126="",G126="",G126="Inconclusive"),"",IF(VALUE(G126)=IF(C126="03",3,VALUE(C126)),"Yes",IF(VALUE(G126)&gt;VALUE(C126),"Matrix higher","Matrix lower")))</f>
        <v/>
      </c>
      <c r="I126" s="2"/>
    </row>
    <row r="127" customFormat="false" ht="15" hidden="false" customHeight="false" outlineLevel="0" collapsed="false">
      <c r="A127" s="2" t="s">
        <v>169</v>
      </c>
      <c r="B127" s="2" t="s">
        <v>10</v>
      </c>
      <c r="C127" s="2" t="s">
        <v>11</v>
      </c>
      <c r="D127" s="2" t="s">
        <v>12</v>
      </c>
      <c r="E127" s="2" t="s">
        <v>12</v>
      </c>
      <c r="F127" s="2" t="s">
        <v>12</v>
      </c>
      <c r="G127" s="2" t="str">
        <f aca="false">IF(F127="","",IF(F127="OK","26",IF(OR(D127="OK",E127="OK"),"23","Inconclusive")))</f>
        <v>26</v>
      </c>
      <c r="H127" s="2" t="str">
        <f aca="false">IF(OR(C127="",G127="",G127="Inconclusive"),"",IF(VALUE(G127)=IF(C127="03",3,VALUE(C127)),"Yes",IF(VALUE(G127)&gt;VALUE(C127),"Matrix higher","Matrix lower")))</f>
        <v>Yes</v>
      </c>
      <c r="I127" s="2"/>
    </row>
    <row r="128" customFormat="false" ht="15" hidden="false" customHeight="false" outlineLevel="0" collapsed="false">
      <c r="A128" s="2" t="s">
        <v>170</v>
      </c>
      <c r="B128" s="2" t="s">
        <v>14</v>
      </c>
      <c r="C128" s="2" t="s">
        <v>19</v>
      </c>
      <c r="D128" s="2" t="s">
        <v>12</v>
      </c>
      <c r="E128" s="2" t="s">
        <v>12</v>
      </c>
      <c r="F128" s="2" t="s">
        <v>12</v>
      </c>
      <c r="G128" s="2" t="str">
        <f aca="false">IF(F128="","",IF(F128="OK","26",IF(OR(D128="OK",E128="OK"),"23","Inconclusive")))</f>
        <v>26</v>
      </c>
      <c r="H128" s="2" t="str">
        <f aca="false">IF(OR(C128="",G128="",G128="Inconclusive"),"",IF(VALUE(G128)=IF(C128="03",3,VALUE(C128)),"Yes",IF(VALUE(G128)&gt;VALUE(C128),"Matrix higher","Matrix lower")))</f>
        <v>Matrix higher</v>
      </c>
      <c r="I128" s="2"/>
    </row>
    <row r="129" customFormat="false" ht="15" hidden="false" customHeight="false" outlineLevel="0" collapsed="false">
      <c r="A129" s="2" t="s">
        <v>171</v>
      </c>
      <c r="B129" s="2" t="s">
        <v>10</v>
      </c>
      <c r="C129" s="2" t="s">
        <v>11</v>
      </c>
      <c r="D129" s="2" t="s">
        <v>12</v>
      </c>
      <c r="E129" s="2" t="s">
        <v>12</v>
      </c>
      <c r="F129" s="2" t="s">
        <v>12</v>
      </c>
      <c r="G129" s="2" t="str">
        <f aca="false">IF(F129="","",IF(F129="OK","26",IF(OR(D129="OK",E129="OK"),"23","Inconclusive")))</f>
        <v>26</v>
      </c>
      <c r="H129" s="2" t="str">
        <f aca="false">IF(OR(C129="",G129="",G129="Inconclusive"),"",IF(VALUE(G129)=IF(C129="03",3,VALUE(C129)),"Yes",IF(VALUE(G129)&gt;VALUE(C129),"Matrix higher","Matrix lower")))</f>
        <v>Yes</v>
      </c>
      <c r="I129" s="2"/>
    </row>
    <row r="130" customFormat="false" ht="15" hidden="false" customHeight="false" outlineLevel="0" collapsed="false">
      <c r="A130" s="2" t="s">
        <v>172</v>
      </c>
      <c r="B130" s="2" t="s">
        <v>14</v>
      </c>
      <c r="C130" s="2" t="s">
        <v>19</v>
      </c>
      <c r="D130" s="2" t="s">
        <v>12</v>
      </c>
      <c r="E130" s="2" t="s">
        <v>12</v>
      </c>
      <c r="F130" s="2" t="s">
        <v>12</v>
      </c>
      <c r="G130" s="2" t="str">
        <f aca="false">IF(F130="","",IF(F130="OK","26",IF(OR(D130="OK",E130="OK"),"23","Inconclusive")))</f>
        <v>26</v>
      </c>
      <c r="H130" s="2" t="str">
        <f aca="false">IF(OR(C130="",G130="",G130="Inconclusive"),"",IF(VALUE(G130)=IF(C130="03",3,VALUE(C130)),"Yes",IF(VALUE(G130)&gt;VALUE(C130),"Matrix higher","Matrix lower")))</f>
        <v>Matrix higher</v>
      </c>
      <c r="I130" s="2"/>
    </row>
    <row r="131" customFormat="false" ht="15" hidden="false" customHeight="false" outlineLevel="0" collapsed="false">
      <c r="A131" s="2" t="s">
        <v>173</v>
      </c>
      <c r="B131" s="2" t="s">
        <v>10</v>
      </c>
      <c r="C131" s="2" t="s">
        <v>15</v>
      </c>
      <c r="D131" s="2" t="s">
        <v>29</v>
      </c>
      <c r="E131" s="2" t="s">
        <v>29</v>
      </c>
      <c r="F131" s="2" t="s">
        <v>29</v>
      </c>
      <c r="G131" s="2" t="str">
        <f aca="false">IF(F131="","",IF(F131="OK","26",IF(OR(D131="OK",E131="OK"),"23","Inconclusive")))</f>
        <v>Inconclusive</v>
      </c>
      <c r="H131" s="2" t="str">
        <f aca="false">IF(OR(C131="",G131="",G131="Inconclusive"),"",IF(VALUE(G131)=IF(C131="03",3,VALUE(C131)),"Yes",IF(VALUE(G131)&gt;VALUE(C131),"Matrix higher","Matrix lower")))</f>
        <v/>
      </c>
      <c r="I131" s="2" t="s">
        <v>174</v>
      </c>
    </row>
    <row r="132" customFormat="false" ht="15" hidden="false" customHeight="false" outlineLevel="0" collapsed="false">
      <c r="A132" s="2" t="s">
        <v>175</v>
      </c>
      <c r="B132" s="2" t="s">
        <v>14</v>
      </c>
      <c r="C132" s="2" t="s">
        <v>19</v>
      </c>
      <c r="D132" s="2" t="s">
        <v>12</v>
      </c>
      <c r="E132" s="2" t="s">
        <v>12</v>
      </c>
      <c r="F132" s="2" t="s">
        <v>12</v>
      </c>
      <c r="G132" s="2" t="str">
        <f aca="false">IF(F132="","",IF(F132="OK","26",IF(OR(D132="OK",E132="OK"),"23","Inconclusive")))</f>
        <v>26</v>
      </c>
      <c r="H132" s="2" t="str">
        <f aca="false">IF(OR(C132="",G132="",G132="Inconclusive"),"",IF(VALUE(G132)=IF(C132="03",3,VALUE(C132)),"Yes",IF(VALUE(G132)&gt;VALUE(C132),"Matrix higher","Matrix lower")))</f>
        <v>Matrix higher</v>
      </c>
      <c r="I132" s="2"/>
    </row>
    <row r="133" customFormat="false" ht="15" hidden="false" customHeight="false" outlineLevel="0" collapsed="false">
      <c r="A133" s="2" t="s">
        <v>176</v>
      </c>
      <c r="B133" s="2"/>
      <c r="C133" s="2"/>
      <c r="D133" s="2" t="s">
        <v>34</v>
      </c>
      <c r="E133" s="2" t="s">
        <v>34</v>
      </c>
      <c r="F133" s="2" t="s">
        <v>34</v>
      </c>
      <c r="G133" s="2" t="str">
        <f aca="false">IF(F133="","",IF(F133="OK","26",IF(OR(D133="OK",E133="OK"),"23","Inconclusive")))</f>
        <v>Inconclusive</v>
      </c>
      <c r="H133" s="2" t="str">
        <f aca="false">IF(OR(C133="",G133="",G133="Inconclusive"),"",IF(VALUE(G133)=IF(C133="03",3,VALUE(C133)),"Yes",IF(VALUE(G133)&gt;VALUE(C133),"Matrix higher","Matrix lower")))</f>
        <v/>
      </c>
      <c r="I133" s="2" t="s">
        <v>177</v>
      </c>
    </row>
    <row r="134" customFormat="false" ht="15" hidden="false" customHeight="false" outlineLevel="0" collapsed="false">
      <c r="A134" s="2" t="s">
        <v>178</v>
      </c>
      <c r="B134" s="2" t="s">
        <v>10</v>
      </c>
      <c r="C134" s="2" t="s">
        <v>11</v>
      </c>
      <c r="D134" s="2" t="s">
        <v>34</v>
      </c>
      <c r="E134" s="2" t="s">
        <v>34</v>
      </c>
      <c r="F134" s="2" t="s">
        <v>34</v>
      </c>
      <c r="G134" s="2" t="str">
        <f aca="false">IF(F134="","",IF(F134="OK","26",IF(OR(D134="OK",E134="OK"),"23","Inconclusive")))</f>
        <v>Inconclusive</v>
      </c>
      <c r="H134" s="2" t="str">
        <f aca="false">IF(OR(C134="",G134="",G134="Inconclusive"),"",IF(VALUE(G134)=IF(C134="03",3,VALUE(C134)),"Yes",IF(VALUE(G134)&gt;VALUE(C134),"Matrix higher","Matrix lower")))</f>
        <v/>
      </c>
      <c r="I134" s="2" t="s">
        <v>65</v>
      </c>
    </row>
    <row r="135" customFormat="false" ht="15" hidden="false" customHeight="false" outlineLevel="0" collapsed="false">
      <c r="A135" s="2" t="s">
        <v>179</v>
      </c>
      <c r="B135" s="2" t="s">
        <v>14</v>
      </c>
      <c r="C135" s="2" t="s">
        <v>11</v>
      </c>
      <c r="D135" s="2" t="s">
        <v>12</v>
      </c>
      <c r="E135" s="2" t="s">
        <v>12</v>
      </c>
      <c r="F135" s="2" t="s">
        <v>12</v>
      </c>
      <c r="G135" s="2" t="str">
        <f aca="false">IF(F135="","",IF(F135="OK","26",IF(OR(D135="OK",E135="OK"),"23","Inconclusive")))</f>
        <v>26</v>
      </c>
      <c r="H135" s="2" t="str">
        <f aca="false">IF(OR(C135="",G135="",G135="Inconclusive"),"",IF(VALUE(G135)=IF(C135="03",3,VALUE(C135)),"Yes",IF(VALUE(G135)&gt;VALUE(C135),"Matrix higher","Matrix lower")))</f>
        <v>Yes</v>
      </c>
      <c r="I135" s="2"/>
    </row>
    <row r="136" customFormat="false" ht="15" hidden="false" customHeight="false" outlineLevel="0" collapsed="false">
      <c r="A136" s="2" t="s">
        <v>180</v>
      </c>
      <c r="B136" s="2"/>
      <c r="C136" s="2"/>
      <c r="D136" s="2" t="s">
        <v>12</v>
      </c>
      <c r="E136" s="2" t="s">
        <v>29</v>
      </c>
      <c r="F136" s="2" t="s">
        <v>29</v>
      </c>
      <c r="G136" s="2" t="str">
        <f aca="false">IF(F136="","",IF(F136="OK","26",IF(OR(D136="OK",E136="OK"),"23","Inconclusive")))</f>
        <v>23</v>
      </c>
      <c r="H136" s="2" t="str">
        <f aca="false">IF(OR(C136="",G136="",G136="Inconclusive"),"",IF(VALUE(G136)=IF(C136="03",3,VALUE(C136)),"Yes",IF(VALUE(G136)&gt;VALUE(C136),"Matrix higher","Matrix lower")))</f>
        <v/>
      </c>
      <c r="I136" s="2" t="s">
        <v>181</v>
      </c>
    </row>
    <row r="137" customFormat="false" ht="15" hidden="false" customHeight="false" outlineLevel="0" collapsed="false">
      <c r="A137" s="2" t="s">
        <v>182</v>
      </c>
      <c r="B137" s="2" t="s">
        <v>10</v>
      </c>
      <c r="C137" s="2" t="s">
        <v>11</v>
      </c>
      <c r="D137" s="2" t="s">
        <v>12</v>
      </c>
      <c r="E137" s="2" t="s">
        <v>12</v>
      </c>
      <c r="F137" s="2" t="s">
        <v>12</v>
      </c>
      <c r="G137" s="2" t="str">
        <f aca="false">IF(F137="","",IF(F137="OK","26",IF(OR(D137="OK",E137="OK"),"23","Inconclusive")))</f>
        <v>26</v>
      </c>
      <c r="H137" s="2" t="str">
        <f aca="false">IF(OR(C137="",G137="",G137="Inconclusive"),"",IF(VALUE(G137)=IF(C137="03",3,VALUE(C137)),"Yes",IF(VALUE(G137)&gt;VALUE(C137),"Matrix higher","Matrix lower")))</f>
        <v>Yes</v>
      </c>
      <c r="I137" s="2"/>
    </row>
    <row r="138" customFormat="false" ht="15" hidden="false" customHeight="false" outlineLevel="0" collapsed="false">
      <c r="A138" s="2" t="s">
        <v>183</v>
      </c>
      <c r="B138" s="2" t="s">
        <v>10</v>
      </c>
      <c r="C138" s="2" t="s">
        <v>11</v>
      </c>
      <c r="D138" s="2" t="s">
        <v>12</v>
      </c>
      <c r="E138" s="2" t="s">
        <v>12</v>
      </c>
      <c r="F138" s="2" t="s">
        <v>12</v>
      </c>
      <c r="G138" s="2" t="str">
        <f aca="false">IF(F138="","",IF(F138="OK","26",IF(OR(D138="OK",E138="OK"),"23","Inconclusive")))</f>
        <v>26</v>
      </c>
      <c r="H138" s="2" t="str">
        <f aca="false">IF(OR(C138="",G138="",G138="Inconclusive"),"",IF(VALUE(G138)=IF(C138="03",3,VALUE(C138)),"Yes",IF(VALUE(G138)&gt;VALUE(C138),"Matrix higher","Matrix lower")))</f>
        <v>Yes</v>
      </c>
      <c r="I138" s="2"/>
    </row>
    <row r="139" customFormat="false" ht="15" hidden="false" customHeight="false" outlineLevel="0" collapsed="false">
      <c r="A139" s="2" t="s">
        <v>184</v>
      </c>
      <c r="B139" s="2" t="s">
        <v>10</v>
      </c>
      <c r="C139" s="2" t="s">
        <v>11</v>
      </c>
      <c r="D139" s="2" t="s">
        <v>12</v>
      </c>
      <c r="E139" s="2" t="s">
        <v>12</v>
      </c>
      <c r="F139" s="2" t="s">
        <v>12</v>
      </c>
      <c r="G139" s="2" t="str">
        <f aca="false">IF(F139="","",IF(F139="OK","26",IF(OR(D139="OK",E139="OK"),"23","Inconclusive")))</f>
        <v>26</v>
      </c>
      <c r="H139" s="2" t="str">
        <f aca="false">IF(OR(C139="",G139="",G139="Inconclusive"),"",IF(VALUE(G139)=IF(C139="03",3,VALUE(C139)),"Yes",IF(VALUE(G139)&gt;VALUE(C139),"Matrix higher","Matrix lower")))</f>
        <v>Yes</v>
      </c>
      <c r="I139" s="2"/>
    </row>
    <row r="140" customFormat="false" ht="15" hidden="false" customHeight="false" outlineLevel="0" collapsed="false">
      <c r="A140" s="2" t="s">
        <v>185</v>
      </c>
      <c r="B140" s="2" t="s">
        <v>14</v>
      </c>
      <c r="C140" s="2" t="s">
        <v>19</v>
      </c>
      <c r="D140" s="2" t="s">
        <v>12</v>
      </c>
      <c r="E140" s="2" t="s">
        <v>12</v>
      </c>
      <c r="F140" s="2" t="s">
        <v>12</v>
      </c>
      <c r="G140" s="2" t="str">
        <f aca="false">IF(F140="","",IF(F140="OK","26",IF(OR(D140="OK",E140="OK"),"23","Inconclusive")))</f>
        <v>26</v>
      </c>
      <c r="H140" s="2" t="str">
        <f aca="false">IF(OR(C140="",G140="",G140="Inconclusive"),"",IF(VALUE(G140)=IF(C140="03",3,VALUE(C140)),"Yes",IF(VALUE(G140)&gt;VALUE(C140),"Matrix higher","Matrix lower")))</f>
        <v>Matrix higher</v>
      </c>
      <c r="I140" s="2"/>
    </row>
    <row r="141" customFormat="false" ht="15" hidden="false" customHeight="false" outlineLevel="0" collapsed="false">
      <c r="A141" s="2" t="s">
        <v>186</v>
      </c>
      <c r="B141" s="2" t="s">
        <v>10</v>
      </c>
      <c r="C141" s="2" t="s">
        <v>19</v>
      </c>
      <c r="D141" s="2" t="s">
        <v>12</v>
      </c>
      <c r="E141" s="2" t="s">
        <v>12</v>
      </c>
      <c r="F141" s="2" t="s">
        <v>12</v>
      </c>
      <c r="G141" s="2" t="str">
        <f aca="false">IF(F141="","",IF(F141="OK","26",IF(OR(D141="OK",E141="OK"),"23","Inconclusive")))</f>
        <v>26</v>
      </c>
      <c r="H141" s="2" t="str">
        <f aca="false">IF(OR(C141="",G141="",G141="Inconclusive"),"",IF(VALUE(G141)=IF(C141="03",3,VALUE(C141)),"Yes",IF(VALUE(G141)&gt;VALUE(C141),"Matrix higher","Matrix lower")))</f>
        <v>Matrix higher</v>
      </c>
      <c r="I141" s="2"/>
    </row>
    <row r="142" customFormat="false" ht="15" hidden="false" customHeight="false" outlineLevel="0" collapsed="false">
      <c r="A142" s="2" t="s">
        <v>187</v>
      </c>
      <c r="B142" s="2" t="s">
        <v>10</v>
      </c>
      <c r="C142" s="2" t="s">
        <v>11</v>
      </c>
      <c r="D142" s="2" t="s">
        <v>12</v>
      </c>
      <c r="E142" s="2" t="s">
        <v>12</v>
      </c>
      <c r="F142" s="2" t="s">
        <v>12</v>
      </c>
      <c r="G142" s="2" t="str">
        <f aca="false">IF(F142="","",IF(F142="OK","26",IF(OR(D142="OK",E142="OK"),"23","Inconclusive")))</f>
        <v>26</v>
      </c>
      <c r="H142" s="2" t="str">
        <f aca="false">IF(OR(C142="",G142="",G142="Inconclusive"),"",IF(VALUE(G142)=IF(C142="03",3,VALUE(C142)),"Yes",IF(VALUE(G142)&gt;VALUE(C142),"Matrix higher","Matrix lower")))</f>
        <v>Yes</v>
      </c>
      <c r="I142" s="2"/>
    </row>
    <row r="143" customFormat="false" ht="15" hidden="false" customHeight="false" outlineLevel="0" collapsed="false">
      <c r="A143" s="2" t="s">
        <v>188</v>
      </c>
      <c r="B143" s="2" t="s">
        <v>76</v>
      </c>
      <c r="C143" s="2" t="s">
        <v>47</v>
      </c>
      <c r="D143" s="2" t="s">
        <v>12</v>
      </c>
      <c r="E143" s="2" t="s">
        <v>12</v>
      </c>
      <c r="F143" s="2" t="s">
        <v>12</v>
      </c>
      <c r="G143" s="2" t="str">
        <f aca="false">IF(F143="","",IF(F143="OK","26",IF(OR(D143="OK",E143="OK"),"23","Inconclusive")))</f>
        <v>26</v>
      </c>
      <c r="H143" s="2" t="str">
        <f aca="false">IF(OR(C143="",G143="",G143="Inconclusive"),"",IF(VALUE(G143)=IF(C143="03",3,VALUE(C143)),"Yes",IF(VALUE(G143)&gt;VALUE(C143),"Matrix higher","Matrix lower")))</f>
        <v>Matrix higher</v>
      </c>
      <c r="I143" s="2"/>
    </row>
    <row r="144" customFormat="false" ht="15" hidden="false" customHeight="false" outlineLevel="0" collapsed="false">
      <c r="A144" s="2" t="s">
        <v>189</v>
      </c>
      <c r="B144" s="2" t="s">
        <v>14</v>
      </c>
      <c r="C144" s="2" t="s">
        <v>11</v>
      </c>
      <c r="D144" s="2" t="s">
        <v>12</v>
      </c>
      <c r="E144" s="2" t="s">
        <v>12</v>
      </c>
      <c r="F144" s="2" t="s">
        <v>12</v>
      </c>
      <c r="G144" s="2" t="str">
        <f aca="false">IF(F144="","",IF(F144="OK","26",IF(OR(D144="OK",E144="OK"),"23","Inconclusive")))</f>
        <v>26</v>
      </c>
      <c r="H144" s="2" t="str">
        <f aca="false">IF(OR(C144="",G144="",G144="Inconclusive"),"",IF(VALUE(G144)=IF(C144="03",3,VALUE(C144)),"Yes",IF(VALUE(G144)&gt;VALUE(C144),"Matrix higher","Matrix lower")))</f>
        <v>Yes</v>
      </c>
      <c r="I144" s="2"/>
    </row>
    <row r="145" customFormat="false" ht="15" hidden="false" customHeight="false" outlineLevel="0" collapsed="false">
      <c r="A145" s="2" t="s">
        <v>190</v>
      </c>
      <c r="B145" s="2" t="s">
        <v>14</v>
      </c>
      <c r="C145" s="2" t="s">
        <v>19</v>
      </c>
      <c r="D145" s="2" t="s">
        <v>12</v>
      </c>
      <c r="E145" s="2" t="s">
        <v>12</v>
      </c>
      <c r="F145" s="2" t="s">
        <v>12</v>
      </c>
      <c r="G145" s="2" t="str">
        <f aca="false">IF(F145="","",IF(F145="OK","26",IF(OR(D145="OK",E145="OK"),"23","Inconclusive")))</f>
        <v>26</v>
      </c>
      <c r="H145" s="2" t="str">
        <f aca="false">IF(OR(C145="",G145="",G145="Inconclusive"),"",IF(VALUE(G145)=IF(C145="03",3,VALUE(C145)),"Yes",IF(VALUE(G145)&gt;VALUE(C145),"Matrix higher","Matrix lower")))</f>
        <v>Matrix higher</v>
      </c>
      <c r="I145" s="2"/>
    </row>
    <row r="146" customFormat="false" ht="15" hidden="false" customHeight="false" outlineLevel="0" collapsed="false">
      <c r="A146" s="2" t="s">
        <v>191</v>
      </c>
      <c r="B146" s="2" t="s">
        <v>14</v>
      </c>
      <c r="C146" s="2" t="s">
        <v>19</v>
      </c>
      <c r="D146" s="2" t="s">
        <v>12</v>
      </c>
      <c r="E146" s="2" t="s">
        <v>12</v>
      </c>
      <c r="F146" s="2" t="s">
        <v>12</v>
      </c>
      <c r="G146" s="2" t="str">
        <f aca="false">IF(F146="","",IF(F146="OK","26",IF(OR(D146="OK",E146="OK"),"23","Inconclusive")))</f>
        <v>26</v>
      </c>
      <c r="H146" s="2" t="str">
        <f aca="false">IF(OR(C146="",G146="",G146="Inconclusive"),"",IF(VALUE(G146)=IF(C146="03",3,VALUE(C146)),"Yes",IF(VALUE(G146)&gt;VALUE(C146),"Matrix higher","Matrix lower")))</f>
        <v>Matrix higher</v>
      </c>
      <c r="I146" s="2"/>
    </row>
    <row r="147" customFormat="false" ht="15" hidden="false" customHeight="false" outlineLevel="0" collapsed="false">
      <c r="A147" s="2" t="s">
        <v>192</v>
      </c>
      <c r="B147" s="2" t="s">
        <v>14</v>
      </c>
      <c r="C147" s="2" t="s">
        <v>19</v>
      </c>
      <c r="D147" s="2"/>
      <c r="E147" s="2"/>
      <c r="F147" s="2"/>
      <c r="G147" s="2" t="str">
        <f aca="false">IF(F147="","",IF(F147="OK","26",IF(OR(D147="OK",E147="OK"),"23","Inconclusive")))</f>
        <v/>
      </c>
      <c r="H147" s="2" t="str">
        <f aca="false">IF(OR(C147="",G147="",G147="Inconclusive"),"",IF(VALUE(G147)=IF(C147="03",3,VALUE(C147)),"Yes",IF(VALUE(G147)&gt;VALUE(C147),"Matrix higher","Matrix lower")))</f>
        <v/>
      </c>
      <c r="I147" s="2" t="s">
        <v>193</v>
      </c>
    </row>
    <row r="148" customFormat="false" ht="15" hidden="false" customHeight="false" outlineLevel="0" collapsed="false">
      <c r="A148" s="2" t="s">
        <v>194</v>
      </c>
      <c r="B148" s="2" t="s">
        <v>10</v>
      </c>
      <c r="C148" s="2" t="s">
        <v>11</v>
      </c>
      <c r="D148" s="2"/>
      <c r="E148" s="2"/>
      <c r="F148" s="2"/>
      <c r="G148" s="2" t="str">
        <f aca="false">IF(F148="","",IF(F148="OK","26",IF(OR(D148="OK",E148="OK"),"23","Inconclusive")))</f>
        <v/>
      </c>
      <c r="H148" s="2" t="str">
        <f aca="false">IF(OR(C148="",G148="",G148="Inconclusive"),"",IF(VALUE(G148)=IF(C148="03",3,VALUE(C148)),"Yes",IF(VALUE(G148)&gt;VALUE(C148),"Matrix higher","Matrix lower")))</f>
        <v/>
      </c>
      <c r="I148" s="2" t="s">
        <v>193</v>
      </c>
    </row>
    <row r="149" customFormat="false" ht="15" hidden="false" customHeight="false" outlineLevel="0" collapsed="false">
      <c r="A149" s="2" t="s">
        <v>195</v>
      </c>
      <c r="B149" s="2" t="s">
        <v>14</v>
      </c>
      <c r="C149" s="2" t="s">
        <v>11</v>
      </c>
      <c r="D149" s="2"/>
      <c r="E149" s="2"/>
      <c r="F149" s="2"/>
      <c r="G149" s="2" t="str">
        <f aca="false">IF(F149="","",IF(F149="OK","26",IF(OR(D149="OK",E149="OK"),"23","Inconclusive")))</f>
        <v/>
      </c>
      <c r="H149" s="2" t="str">
        <f aca="false">IF(OR(C149="",G149="",G149="Inconclusive"),"",IF(VALUE(G149)=IF(C149="03",3,VALUE(C149)),"Yes",IF(VALUE(G149)&gt;VALUE(C149),"Matrix higher","Matrix lower")))</f>
        <v/>
      </c>
      <c r="I149" s="2" t="s">
        <v>193</v>
      </c>
    </row>
    <row r="150" customFormat="false" ht="15" hidden="false" customHeight="false" outlineLevel="0" collapsed="false">
      <c r="A150" s="2" t="s">
        <v>196</v>
      </c>
      <c r="B150" s="2" t="s">
        <v>10</v>
      </c>
      <c r="C150" s="2" t="s">
        <v>11</v>
      </c>
      <c r="D150" s="2"/>
      <c r="E150" s="2"/>
      <c r="F150" s="2"/>
      <c r="G150" s="2" t="str">
        <f aca="false">IF(F150="","",IF(F150="OK","26",IF(OR(D150="OK",E150="OK"),"23","Inconclusive")))</f>
        <v/>
      </c>
      <c r="H150" s="2" t="str">
        <f aca="false">IF(OR(C150="",G150="",G150="Inconclusive"),"",IF(VALUE(G150)=IF(C150="03",3,VALUE(C150)),"Yes",IF(VALUE(G150)&gt;VALUE(C150),"Matrix higher","Matrix lower")))</f>
        <v/>
      </c>
      <c r="I150" s="2" t="s">
        <v>193</v>
      </c>
    </row>
    <row r="151" customFormat="false" ht="15" hidden="false" customHeight="false" outlineLevel="0" collapsed="false">
      <c r="A151" s="2" t="s">
        <v>197</v>
      </c>
      <c r="B151" s="2" t="s">
        <v>47</v>
      </c>
      <c r="C151" s="2" t="s">
        <v>47</v>
      </c>
      <c r="D151" s="2"/>
      <c r="E151" s="2"/>
      <c r="F151" s="2"/>
      <c r="G151" s="2" t="str">
        <f aca="false">IF(F151="","",IF(F151="OK","26",IF(OR(D151="OK",E151="OK"),"23","Inconclusive")))</f>
        <v/>
      </c>
      <c r="H151" s="2" t="str">
        <f aca="false">IF(OR(C151="",G151="",G151="Inconclusive"),"",IF(VALUE(G151)=IF(C151="03",3,VALUE(C151)),"Yes",IF(VALUE(G151)&gt;VALUE(C151),"Matrix higher","Matrix lower")))</f>
        <v/>
      </c>
      <c r="I151" s="2" t="s">
        <v>193</v>
      </c>
    </row>
    <row r="152" customFormat="false" ht="15" hidden="false" customHeight="false" outlineLevel="0" collapsed="false">
      <c r="A152" s="2" t="s">
        <v>198</v>
      </c>
      <c r="B152" s="2" t="s">
        <v>10</v>
      </c>
      <c r="C152" s="2" t="s">
        <v>11</v>
      </c>
      <c r="D152" s="2"/>
      <c r="E152" s="2"/>
      <c r="F152" s="2"/>
      <c r="G152" s="2" t="str">
        <f aca="false">IF(F152="","",IF(F152="OK","26",IF(OR(D152="OK",E152="OK"),"23","Inconclusive")))</f>
        <v/>
      </c>
      <c r="H152" s="2" t="str">
        <f aca="false">IF(OR(C152="",G152="",G152="Inconclusive"),"",IF(VALUE(G152)=IF(C152="03",3,VALUE(C152)),"Yes",IF(VALUE(G152)&gt;VALUE(C152),"Matrix higher","Matrix lower")))</f>
        <v/>
      </c>
      <c r="I152" s="2" t="s">
        <v>193</v>
      </c>
    </row>
    <row r="153" customFormat="false" ht="15" hidden="false" customHeight="false" outlineLevel="0" collapsed="false">
      <c r="A153" s="2" t="s">
        <v>199</v>
      </c>
      <c r="B153" s="2" t="s">
        <v>10</v>
      </c>
      <c r="C153" s="2" t="s">
        <v>11</v>
      </c>
      <c r="D153" s="2"/>
      <c r="E153" s="2"/>
      <c r="F153" s="2"/>
      <c r="G153" s="2" t="str">
        <f aca="false">IF(F153="","",IF(F153="OK","26",IF(OR(D153="OK",E153="OK"),"23","Inconclusive")))</f>
        <v/>
      </c>
      <c r="H153" s="2" t="str">
        <f aca="false">IF(OR(C153="",G153="",G153="Inconclusive"),"",IF(VALUE(G153)=IF(C153="03",3,VALUE(C153)),"Yes",IF(VALUE(G153)&gt;VALUE(C153),"Matrix higher","Matrix lower")))</f>
        <v/>
      </c>
      <c r="I153" s="2" t="s">
        <v>193</v>
      </c>
    </row>
    <row r="154" customFormat="false" ht="15" hidden="false" customHeight="false" outlineLevel="0" collapsed="false">
      <c r="A154" s="2" t="s">
        <v>200</v>
      </c>
      <c r="B154" s="2" t="s">
        <v>14</v>
      </c>
      <c r="C154" s="2" t="s">
        <v>15</v>
      </c>
      <c r="D154" s="2"/>
      <c r="E154" s="2"/>
      <c r="F154" s="2"/>
      <c r="G154" s="2" t="str">
        <f aca="false">IF(F154="","",IF(F154="OK","26",IF(OR(D154="OK",E154="OK"),"23","Inconclusive")))</f>
        <v/>
      </c>
      <c r="H154" s="2" t="str">
        <f aca="false">IF(OR(C154="",G154="",G154="Inconclusive"),"",IF(VALUE(G154)=IF(C154="03",3,VALUE(C154)),"Yes",IF(VALUE(G154)&gt;VALUE(C154),"Matrix higher","Matrix lower")))</f>
        <v/>
      </c>
      <c r="I154" s="2" t="s">
        <v>193</v>
      </c>
    </row>
    <row r="155" customFormat="false" ht="15" hidden="false" customHeight="false" outlineLevel="0" collapsed="false">
      <c r="A155" s="2" t="s">
        <v>201</v>
      </c>
      <c r="B155" s="2" t="s">
        <v>10</v>
      </c>
      <c r="C155" s="2" t="s">
        <v>11</v>
      </c>
      <c r="D155" s="2"/>
      <c r="E155" s="2"/>
      <c r="F155" s="2"/>
      <c r="G155" s="2" t="str">
        <f aca="false">IF(F155="","",IF(F155="OK","26",IF(OR(D155="OK",E155="OK"),"23","Inconclusive")))</f>
        <v/>
      </c>
      <c r="H155" s="2" t="str">
        <f aca="false">IF(OR(C155="",G155="",G155="Inconclusive"),"",IF(VALUE(G155)=IF(C155="03",3,VALUE(C155)),"Yes",IF(VALUE(G155)&gt;VALUE(C155),"Matrix higher","Matrix lower")))</f>
        <v/>
      </c>
      <c r="I155" s="2" t="s">
        <v>193</v>
      </c>
    </row>
    <row r="156" customFormat="false" ht="15" hidden="false" customHeight="false" outlineLevel="0" collapsed="false">
      <c r="A156" s="2" t="s">
        <v>202</v>
      </c>
      <c r="B156" s="2" t="s">
        <v>10</v>
      </c>
      <c r="C156" s="2" t="s">
        <v>47</v>
      </c>
      <c r="D156" s="2"/>
      <c r="E156" s="2"/>
      <c r="F156" s="2"/>
      <c r="G156" s="2" t="str">
        <f aca="false">IF(F156="","",IF(F156="OK","26",IF(OR(D156="OK",E156="OK"),"23","Inconclusive")))</f>
        <v/>
      </c>
      <c r="H156" s="2" t="str">
        <f aca="false">IF(OR(C156="",G156="",G156="Inconclusive"),"",IF(VALUE(G156)=IF(C156="03",3,VALUE(C156)),"Yes",IF(VALUE(G156)&gt;VALUE(C156),"Matrix higher","Matrix lower")))</f>
        <v/>
      </c>
      <c r="I156" s="2" t="s">
        <v>193</v>
      </c>
    </row>
    <row r="157" customFormat="false" ht="15" hidden="false" customHeight="false" outlineLevel="0" collapsed="false">
      <c r="A157" s="2" t="s">
        <v>203</v>
      </c>
      <c r="B157" s="2" t="s">
        <v>10</v>
      </c>
      <c r="C157" s="2" t="s">
        <v>11</v>
      </c>
      <c r="D157" s="2"/>
      <c r="E157" s="2"/>
      <c r="F157" s="2"/>
      <c r="G157" s="2" t="str">
        <f aca="false">IF(F157="","",IF(F157="OK","26",IF(OR(D157="OK",E157="OK"),"23","Inconclusive")))</f>
        <v/>
      </c>
      <c r="H157" s="2" t="str">
        <f aca="false">IF(OR(C157="",G157="",G157="Inconclusive"),"",IF(VALUE(G157)=IF(C157="03",3,VALUE(C157)),"Yes",IF(VALUE(G157)&gt;VALUE(C157),"Matrix higher","Matrix lower")))</f>
        <v/>
      </c>
      <c r="I157" s="2" t="s">
        <v>193</v>
      </c>
    </row>
    <row r="158" customFormat="false" ht="15" hidden="false" customHeight="false" outlineLevel="0" collapsed="false">
      <c r="A158" s="2" t="s">
        <v>204</v>
      </c>
      <c r="B158" s="2"/>
      <c r="C158" s="2"/>
      <c r="D158" s="2"/>
      <c r="E158" s="2"/>
      <c r="F158" s="2"/>
      <c r="G158" s="2" t="str">
        <f aca="false">IF(F158="","",IF(F158="OK","26",IF(OR(D158="OK",E158="OK"),"23","Inconclusive")))</f>
        <v/>
      </c>
      <c r="H158" s="2" t="str">
        <f aca="false">IF(OR(C158="",G158="",G158="Inconclusive"),"",IF(VALUE(G158)=IF(C158="03",3,VALUE(C158)),"Yes",IF(VALUE(G158)&gt;VALUE(C158),"Matrix higher","Matrix lower")))</f>
        <v/>
      </c>
      <c r="I158" s="2" t="s">
        <v>193</v>
      </c>
    </row>
    <row r="159" customFormat="false" ht="15" hidden="false" customHeight="false" outlineLevel="0" collapsed="false">
      <c r="A159" s="2" t="s">
        <v>205</v>
      </c>
      <c r="B159" s="2" t="s">
        <v>10</v>
      </c>
      <c r="C159" s="2" t="s">
        <v>11</v>
      </c>
      <c r="D159" s="2"/>
      <c r="E159" s="2"/>
      <c r="F159" s="2"/>
      <c r="G159" s="2" t="str">
        <f aca="false">IF(F159="","",IF(F159="OK","26",IF(OR(D159="OK",E159="OK"),"23","Inconclusive")))</f>
        <v/>
      </c>
      <c r="H159" s="2" t="str">
        <f aca="false">IF(OR(C159="",G159="",G159="Inconclusive"),"",IF(VALUE(G159)=IF(C159="03",3,VALUE(C159)),"Yes",IF(VALUE(G159)&gt;VALUE(C159),"Matrix higher","Matrix lower")))</f>
        <v/>
      </c>
      <c r="I159" s="2" t="s">
        <v>193</v>
      </c>
    </row>
    <row r="160" customFormat="false" ht="15" hidden="false" customHeight="false" outlineLevel="0" collapsed="false">
      <c r="A160" s="2" t="s">
        <v>206</v>
      </c>
      <c r="B160" s="2" t="s">
        <v>76</v>
      </c>
      <c r="C160" s="2" t="s">
        <v>47</v>
      </c>
      <c r="D160" s="2"/>
      <c r="E160" s="2"/>
      <c r="F160" s="2"/>
      <c r="G160" s="2" t="str">
        <f aca="false">IF(F160="","",IF(F160="OK","26",IF(OR(D160="OK",E160="OK"),"23","Inconclusive")))</f>
        <v/>
      </c>
      <c r="H160" s="2" t="str">
        <f aca="false">IF(OR(C160="",G160="",G160="Inconclusive"),"",IF(VALUE(G160)=IF(C160="03",3,VALUE(C160)),"Yes",IF(VALUE(G160)&gt;VALUE(C160),"Matrix higher","Matrix lower")))</f>
        <v/>
      </c>
      <c r="I160" s="2" t="s">
        <v>193</v>
      </c>
    </row>
  </sheetData>
  <autoFilter ref="A1:I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" t="s">
        <v>207</v>
      </c>
    </row>
    <row r="2" customFormat="false" ht="15" hidden="false" customHeight="false" outlineLevel="0" collapsed="false">
      <c r="A2" s="2" t="s">
        <v>208</v>
      </c>
    </row>
    <row r="3" customFormat="false" ht="15" hidden="false" customHeight="false" outlineLevel="0" collapsed="false">
      <c r="A3" s="2" t="s">
        <v>209</v>
      </c>
    </row>
    <row r="4" customFormat="false" ht="15" hidden="false" customHeight="false" outlineLevel="0" collapsed="false">
      <c r="A4" s="2" t="s">
        <v>210</v>
      </c>
    </row>
    <row r="5" customFormat="false" ht="15" hidden="false" customHeight="false" outlineLevel="0" collapsed="false">
      <c r="A5" s="2" t="s">
        <v>211</v>
      </c>
    </row>
    <row r="6" customFormat="false" ht="15" hidden="false" customHeight="false" outlineLevel="0" collapsed="false">
      <c r="A6" s="2" t="s">
        <v>212</v>
      </c>
    </row>
    <row r="7" customFormat="false" ht="15" hidden="false" customHeight="false" outlineLevel="0" collapsed="false">
      <c r="A7" s="2" t="s">
        <v>213</v>
      </c>
    </row>
    <row r="8" customFormat="false" ht="15" hidden="false" customHeight="false" outlineLevel="0" collapsed="false">
      <c r="A8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2026-10-01T19:12:16Z</dcterms:created>
  <dc:creator>openpyxl</dc:creator>
  <dc:description/>
  <dc:language>en-US</dc:language>
  <cp:lastModifiedBy/>
  <dcterms:modified xsi:type="dcterms:W3CDTF">2026-10-01T19:12:16Z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